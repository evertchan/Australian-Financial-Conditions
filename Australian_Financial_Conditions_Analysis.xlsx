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vert\Desktop\projects for resume\Asic\"/>
    </mc:Choice>
  </mc:AlternateContent>
  <xr:revisionPtr revIDLastSave="0" documentId="13_ncr:1_{82EF8BD4-5CA9-4EE6-BD0E-D83238D04802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Exchange_Rates" sheetId="2" r:id="rId1"/>
    <sheet name="Cash_Rates" sheetId="3" r:id="rId2"/>
    <sheet name="Business_Rates" sheetId="4" r:id="rId3"/>
    <sheet name="Financial_Conditions" sheetId="5" r:id="rId4"/>
    <sheet name="Analysis" sheetId="6" r:id="rId5"/>
  </sheets>
  <definedNames>
    <definedName name="ExternalData_1" localSheetId="2" hidden="1">Business_Rates!$A$1:$D$73</definedName>
    <definedName name="ExternalData_1" localSheetId="1" hidden="1">'Cash_Rates'!$A$1:$B$73</definedName>
    <definedName name="ExternalData_1" localSheetId="0" hidden="1">Exchange_Rates!$A$1:$D$73</definedName>
    <definedName name="ExternalData_1" localSheetId="3" hidden="1">Financial_Conditions!$A$1:$H$73</definedName>
    <definedName name="_xlnm.Print_Area" localSheetId="4">Analysis!$C$2:$U$22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D5" i="6"/>
  <c r="D3" i="6"/>
  <c r="D2" i="6"/>
  <c r="D4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2D1AA1-F2BB-4016-9A4F-E2C89F50D6C8}" keepAlive="1" name="Query - Business_Rates" description="Connection to the 'Business_Rates' query in the workbook." type="5" refreshedVersion="8" background="1" saveData="1">
    <dbPr connection="Provider=Microsoft.Mashup.OleDb.1;Data Source=$Workbook$;Location=Business_Rates;Extended Properties=&quot;&quot;" command="SELECT * FROM [Business_Rates]"/>
  </connection>
  <connection id="2" xr16:uid="{E2EFBAD0-C03B-4E93-B6A1-5E61981A56FE}" keepAlive="1" name="Query - Cash_Rates" description="Connection to the 'Cash_Rates' query in the workbook." type="5" refreshedVersion="8" background="1" saveData="1">
    <dbPr connection="Provider=Microsoft.Mashup.OleDb.1;Data Source=$Workbook$;Location=Cash_Rates;Extended Properties=&quot;&quot;" command="SELECT * FROM [Cash_Rates]"/>
  </connection>
  <connection id="3" xr16:uid="{7E3DA5B8-E827-4A86-B9D1-0DDD07BC8CED}" keepAlive="1" name="Query - Exchange_Rates" description="Connection to the 'Exchange_Rates' query in the workbook." type="5" refreshedVersion="8" background="1" saveData="1">
    <dbPr connection="Provider=Microsoft.Mashup.OleDb.1;Data Source=$Workbook$;Location=Exchange_Rates;Extended Properties=&quot;&quot;" command="SELECT * FROM [Exchange_Rates]"/>
  </connection>
  <connection id="4" xr16:uid="{A3816A1E-9A81-493A-922D-6D9B7CF2DFF0}" keepAlive="1" name="Query - Financial_Conditions" description="Connection to the 'Financial_Conditions' query in the workbook." type="5" refreshedVersion="8" background="1" saveData="1">
    <dbPr connection="Provider=Microsoft.Mashup.OleDb.1;Data Source=$Workbook$;Location=Financial_Conditions;Extended Properties=&quot;&quot;" command="SELECT * FROM [Financial_Conditions]"/>
  </connection>
</connections>
</file>

<file path=xl/sharedStrings.xml><?xml version="1.0" encoding="utf-8"?>
<sst xmlns="http://schemas.openxmlformats.org/spreadsheetml/2006/main" count="24" uniqueCount="14">
  <si>
    <t>Date</t>
  </si>
  <si>
    <t>AUD/USD</t>
  </si>
  <si>
    <t>Trade-weighted index</t>
  </si>
  <si>
    <t>Cash_Rates</t>
  </si>
  <si>
    <t>Small_Business_Total</t>
  </si>
  <si>
    <t>Small_Business_Variable</t>
  </si>
  <si>
    <t>Small_Business_Fixed</t>
  </si>
  <si>
    <t>Month</t>
  </si>
  <si>
    <t>Spread</t>
  </si>
  <si>
    <t>Average Cash Rate</t>
  </si>
  <si>
    <t>Average Small Business Rate</t>
  </si>
  <si>
    <t>Average Spread</t>
  </si>
  <si>
    <t>Average AUD/USD</t>
  </si>
  <si>
    <t>Source: Reserve Bank of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</si>
</sst>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\%"/>
    <numFmt numFmtId="170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3EF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168" fontId="0" fillId="0" borderId="0" xfId="0" applyNumberFormat="1"/>
    <xf numFmtId="0" fontId="3" fillId="0" borderId="0" xfId="0" applyFont="1" applyAlignment="1">
      <alignment horizontal="center"/>
    </xf>
    <xf numFmtId="168" fontId="4" fillId="2" borderId="1" xfId="0" applyNumberFormat="1" applyFont="1" applyFill="1" applyBorder="1" applyAlignment="1">
      <alignment vertical="center"/>
    </xf>
    <xf numFmtId="170" fontId="4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8"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E3EF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Cash Rate vs Small Business Lending Rate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Cash Rate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Financial_Conditions!$C$2:$C$73</c:f>
              <c:numCache>
                <c:formatCode>m/d/yyyy</c:formatCode>
                <c:ptCount val="7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</c:numCache>
            </c:numRef>
          </c:cat>
          <c:val>
            <c:numRef>
              <c:f>Financial_Conditions!$B$2:$B$74</c:f>
              <c:numCache>
                <c:formatCode>General</c:formatCode>
                <c:ptCount val="73"/>
                <c:pt idx="0">
                  <c:v>0.75</c:v>
                </c:pt>
                <c:pt idx="1">
                  <c:v>0.75</c:v>
                </c:pt>
                <c:pt idx="2">
                  <c:v>0.43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0.11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0.33</c:v>
                </c:pt>
                <c:pt idx="29">
                  <c:v>0.73</c:v>
                </c:pt>
                <c:pt idx="30">
                  <c:v>1.28</c:v>
                </c:pt>
                <c:pt idx="31">
                  <c:v>1.81</c:v>
                </c:pt>
                <c:pt idx="32">
                  <c:v>2.25</c:v>
                </c:pt>
                <c:pt idx="33">
                  <c:v>2.58</c:v>
                </c:pt>
                <c:pt idx="34">
                  <c:v>2.84</c:v>
                </c:pt>
                <c:pt idx="35">
                  <c:v>3.05</c:v>
                </c:pt>
                <c:pt idx="36">
                  <c:v>3.1</c:v>
                </c:pt>
                <c:pt idx="37">
                  <c:v>3.29</c:v>
                </c:pt>
                <c:pt idx="38">
                  <c:v>3.54</c:v>
                </c:pt>
                <c:pt idx="39">
                  <c:v>3.6</c:v>
                </c:pt>
                <c:pt idx="40">
                  <c:v>3.83</c:v>
                </c:pt>
                <c:pt idx="41">
                  <c:v>4.05</c:v>
                </c:pt>
                <c:pt idx="42">
                  <c:v>4.0999999999999996</c:v>
                </c:pt>
                <c:pt idx="43">
                  <c:v>4.0999999999999996</c:v>
                </c:pt>
                <c:pt idx="44">
                  <c:v>4.0999999999999996</c:v>
                </c:pt>
                <c:pt idx="45">
                  <c:v>4.0999999999999996</c:v>
                </c:pt>
                <c:pt idx="46">
                  <c:v>4.29</c:v>
                </c:pt>
                <c:pt idx="47">
                  <c:v>4.3499999999999996</c:v>
                </c:pt>
                <c:pt idx="48">
                  <c:v>4.3499999999999996</c:v>
                </c:pt>
                <c:pt idx="49">
                  <c:v>4.3499999999999996</c:v>
                </c:pt>
                <c:pt idx="50">
                  <c:v>4.3499999999999996</c:v>
                </c:pt>
                <c:pt idx="51">
                  <c:v>4.3499999999999996</c:v>
                </c:pt>
                <c:pt idx="52">
                  <c:v>4.3499999999999996</c:v>
                </c:pt>
                <c:pt idx="53">
                  <c:v>4.3499999999999996</c:v>
                </c:pt>
                <c:pt idx="54">
                  <c:v>4.3499999999999996</c:v>
                </c:pt>
                <c:pt idx="55">
                  <c:v>4.3499999999999996</c:v>
                </c:pt>
                <c:pt idx="56">
                  <c:v>4.3499999999999996</c:v>
                </c:pt>
                <c:pt idx="57">
                  <c:v>4.3499999999999996</c:v>
                </c:pt>
                <c:pt idx="58">
                  <c:v>4.3499999999999996</c:v>
                </c:pt>
                <c:pt idx="59">
                  <c:v>4.3499999999999996</c:v>
                </c:pt>
                <c:pt idx="60">
                  <c:v>4.3499999999999996</c:v>
                </c:pt>
                <c:pt idx="61">
                  <c:v>4.25</c:v>
                </c:pt>
                <c:pt idx="62">
                  <c:v>4.0999999999999996</c:v>
                </c:pt>
                <c:pt idx="63">
                  <c:v>4.0999999999999996</c:v>
                </c:pt>
                <c:pt idx="64">
                  <c:v>4.01</c:v>
                </c:pt>
                <c:pt idx="65">
                  <c:v>3.85</c:v>
                </c:pt>
                <c:pt idx="66">
                  <c:v>3.85</c:v>
                </c:pt>
                <c:pt idx="67">
                  <c:v>3.7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8-4764-B31E-1865C6BF587A}"/>
            </c:ext>
          </c:extLst>
        </c:ser>
        <c:ser>
          <c:idx val="2"/>
          <c:order val="1"/>
          <c:tx>
            <c:v>Small Business Lending Rate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Financial_Conditions!$C$2:$C$73</c:f>
              <c:numCache>
                <c:formatCode>m/d/yyyy</c:formatCode>
                <c:ptCount val="7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</c:numCache>
            </c:numRef>
          </c:cat>
          <c:val>
            <c:numRef>
              <c:f>Financial_Conditions!$F$2:$F$74</c:f>
              <c:numCache>
                <c:formatCode>General</c:formatCode>
                <c:ptCount val="73"/>
                <c:pt idx="0">
                  <c:v>5.23</c:v>
                </c:pt>
                <c:pt idx="1">
                  <c:v>5.21</c:v>
                </c:pt>
                <c:pt idx="2">
                  <c:v>5.01</c:v>
                </c:pt>
                <c:pt idx="3">
                  <c:v>4.82</c:v>
                </c:pt>
                <c:pt idx="4">
                  <c:v>4.75</c:v>
                </c:pt>
                <c:pt idx="5">
                  <c:v>4.7</c:v>
                </c:pt>
                <c:pt idx="6">
                  <c:v>4.67</c:v>
                </c:pt>
                <c:pt idx="7">
                  <c:v>4.6399999999999997</c:v>
                </c:pt>
                <c:pt idx="8">
                  <c:v>4.62</c:v>
                </c:pt>
                <c:pt idx="9">
                  <c:v>4.57</c:v>
                </c:pt>
                <c:pt idx="10">
                  <c:v>4.58</c:v>
                </c:pt>
                <c:pt idx="11">
                  <c:v>4.53</c:v>
                </c:pt>
                <c:pt idx="12">
                  <c:v>4.5199999999999996</c:v>
                </c:pt>
                <c:pt idx="13">
                  <c:v>4.46</c:v>
                </c:pt>
                <c:pt idx="14">
                  <c:v>4.42</c:v>
                </c:pt>
                <c:pt idx="15">
                  <c:v>4.3899999999999997</c:v>
                </c:pt>
                <c:pt idx="16">
                  <c:v>4.38</c:v>
                </c:pt>
                <c:pt idx="17">
                  <c:v>4.34</c:v>
                </c:pt>
                <c:pt idx="18">
                  <c:v>4.29</c:v>
                </c:pt>
                <c:pt idx="19">
                  <c:v>4.26</c:v>
                </c:pt>
                <c:pt idx="20">
                  <c:v>4.24</c:v>
                </c:pt>
                <c:pt idx="21">
                  <c:v>4.2</c:v>
                </c:pt>
                <c:pt idx="22">
                  <c:v>4.1900000000000004</c:v>
                </c:pt>
                <c:pt idx="23">
                  <c:v>4.16</c:v>
                </c:pt>
                <c:pt idx="24">
                  <c:v>4.16</c:v>
                </c:pt>
                <c:pt idx="25">
                  <c:v>4.1399999999999997</c:v>
                </c:pt>
                <c:pt idx="26">
                  <c:v>4.12</c:v>
                </c:pt>
                <c:pt idx="27">
                  <c:v>4.1100000000000003</c:v>
                </c:pt>
                <c:pt idx="28">
                  <c:v>4.24</c:v>
                </c:pt>
                <c:pt idx="29">
                  <c:v>4.5599999999999996</c:v>
                </c:pt>
                <c:pt idx="30">
                  <c:v>4.9000000000000004</c:v>
                </c:pt>
                <c:pt idx="31">
                  <c:v>5.2</c:v>
                </c:pt>
                <c:pt idx="32">
                  <c:v>5.52</c:v>
                </c:pt>
                <c:pt idx="33">
                  <c:v>5.71</c:v>
                </c:pt>
                <c:pt idx="34">
                  <c:v>5.84</c:v>
                </c:pt>
                <c:pt idx="35">
                  <c:v>6</c:v>
                </c:pt>
                <c:pt idx="36">
                  <c:v>6.04</c:v>
                </c:pt>
                <c:pt idx="37">
                  <c:v>6.2</c:v>
                </c:pt>
                <c:pt idx="38">
                  <c:v>6.37</c:v>
                </c:pt>
                <c:pt idx="39">
                  <c:v>6.39</c:v>
                </c:pt>
                <c:pt idx="40">
                  <c:v>6.57</c:v>
                </c:pt>
                <c:pt idx="41">
                  <c:v>6.8</c:v>
                </c:pt>
                <c:pt idx="42">
                  <c:v>6.83</c:v>
                </c:pt>
                <c:pt idx="43">
                  <c:v>6.86</c:v>
                </c:pt>
                <c:pt idx="44">
                  <c:v>6.89</c:v>
                </c:pt>
                <c:pt idx="45">
                  <c:v>6.92</c:v>
                </c:pt>
                <c:pt idx="46">
                  <c:v>7.09</c:v>
                </c:pt>
                <c:pt idx="47">
                  <c:v>7.13</c:v>
                </c:pt>
                <c:pt idx="48">
                  <c:v>7.16</c:v>
                </c:pt>
                <c:pt idx="49">
                  <c:v>7.19</c:v>
                </c:pt>
                <c:pt idx="50">
                  <c:v>7.22</c:v>
                </c:pt>
                <c:pt idx="51">
                  <c:v>7.28</c:v>
                </c:pt>
                <c:pt idx="52">
                  <c:v>7.32</c:v>
                </c:pt>
                <c:pt idx="53">
                  <c:v>7.33</c:v>
                </c:pt>
                <c:pt idx="54">
                  <c:v>7.39</c:v>
                </c:pt>
                <c:pt idx="55">
                  <c:v>7.41</c:v>
                </c:pt>
                <c:pt idx="56">
                  <c:v>7.42</c:v>
                </c:pt>
                <c:pt idx="57">
                  <c:v>7.41</c:v>
                </c:pt>
                <c:pt idx="58">
                  <c:v>7.42</c:v>
                </c:pt>
                <c:pt idx="59">
                  <c:v>7.43</c:v>
                </c:pt>
                <c:pt idx="60">
                  <c:v>7.44</c:v>
                </c:pt>
                <c:pt idx="61">
                  <c:v>7.33</c:v>
                </c:pt>
                <c:pt idx="62">
                  <c:v>7.24</c:v>
                </c:pt>
                <c:pt idx="63">
                  <c:v>7.25</c:v>
                </c:pt>
                <c:pt idx="64">
                  <c:v>7.16</c:v>
                </c:pt>
                <c:pt idx="65">
                  <c:v>7.06</c:v>
                </c:pt>
                <c:pt idx="66">
                  <c:v>7.04</c:v>
                </c:pt>
                <c:pt idx="67">
                  <c:v>6.9</c:v>
                </c:pt>
                <c:pt idx="68">
                  <c:v>6.87</c:v>
                </c:pt>
                <c:pt idx="69">
                  <c:v>6.85</c:v>
                </c:pt>
                <c:pt idx="70">
                  <c:v>6.84</c:v>
                </c:pt>
                <c:pt idx="71">
                  <c:v>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8-4764-B31E-1865C6BF5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284160"/>
        <c:axId val="94279391"/>
      </c:lineChart>
      <c:dateAx>
        <c:axId val="117328416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9391"/>
        <c:crosses val="autoZero"/>
        <c:auto val="1"/>
        <c:lblOffset val="100"/>
        <c:baseTimeUnit val="months"/>
      </c:dateAx>
      <c:valAx>
        <c:axId val="942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Interest Rate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28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Small Business Lending Spread Over Cash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Financial_Conditions!$I$1</c:f>
              <c:strCache>
                <c:ptCount val="1"/>
                <c:pt idx="0">
                  <c:v>Spread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Financial_Conditions!$C$2:$C$74</c:f>
              <c:numCache>
                <c:formatCode>m/d/yyyy</c:formatCode>
                <c:ptCount val="7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</c:numCache>
            </c:numRef>
          </c:cat>
          <c:val>
            <c:numRef>
              <c:f>Financial_Conditions!$I$2:$I$74</c:f>
              <c:numCache>
                <c:formatCode>0.00</c:formatCode>
                <c:ptCount val="73"/>
                <c:pt idx="0">
                  <c:v>4.4800000000000004</c:v>
                </c:pt>
                <c:pt idx="1">
                  <c:v>4.46</c:v>
                </c:pt>
                <c:pt idx="2">
                  <c:v>4.58</c:v>
                </c:pt>
                <c:pt idx="3">
                  <c:v>4.57</c:v>
                </c:pt>
                <c:pt idx="4">
                  <c:v>4.5</c:v>
                </c:pt>
                <c:pt idx="5">
                  <c:v>4.45</c:v>
                </c:pt>
                <c:pt idx="6">
                  <c:v>4.42</c:v>
                </c:pt>
                <c:pt idx="7">
                  <c:v>4.3899999999999997</c:v>
                </c:pt>
                <c:pt idx="8">
                  <c:v>4.37</c:v>
                </c:pt>
                <c:pt idx="9">
                  <c:v>4.32</c:v>
                </c:pt>
                <c:pt idx="10">
                  <c:v>4.47</c:v>
                </c:pt>
                <c:pt idx="11">
                  <c:v>4.4300000000000006</c:v>
                </c:pt>
                <c:pt idx="12">
                  <c:v>4.42</c:v>
                </c:pt>
                <c:pt idx="13">
                  <c:v>4.3600000000000003</c:v>
                </c:pt>
                <c:pt idx="14">
                  <c:v>4.32</c:v>
                </c:pt>
                <c:pt idx="15">
                  <c:v>4.29</c:v>
                </c:pt>
                <c:pt idx="16">
                  <c:v>4.28</c:v>
                </c:pt>
                <c:pt idx="17">
                  <c:v>4.24</c:v>
                </c:pt>
                <c:pt idx="18">
                  <c:v>4.1900000000000004</c:v>
                </c:pt>
                <c:pt idx="19">
                  <c:v>4.16</c:v>
                </c:pt>
                <c:pt idx="20">
                  <c:v>4.1400000000000006</c:v>
                </c:pt>
                <c:pt idx="21">
                  <c:v>4.1000000000000005</c:v>
                </c:pt>
                <c:pt idx="22">
                  <c:v>4.0900000000000007</c:v>
                </c:pt>
                <c:pt idx="23">
                  <c:v>4.0600000000000005</c:v>
                </c:pt>
                <c:pt idx="24">
                  <c:v>4.0600000000000005</c:v>
                </c:pt>
                <c:pt idx="25">
                  <c:v>4.04</c:v>
                </c:pt>
                <c:pt idx="26">
                  <c:v>4.0200000000000005</c:v>
                </c:pt>
                <c:pt idx="27">
                  <c:v>4.0100000000000007</c:v>
                </c:pt>
                <c:pt idx="28">
                  <c:v>3.91</c:v>
                </c:pt>
                <c:pt idx="29">
                  <c:v>3.8299999999999996</c:v>
                </c:pt>
                <c:pt idx="30">
                  <c:v>3.62</c:v>
                </c:pt>
                <c:pt idx="31">
                  <c:v>3.39</c:v>
                </c:pt>
                <c:pt idx="32">
                  <c:v>3.2699999999999996</c:v>
                </c:pt>
                <c:pt idx="33">
                  <c:v>3.13</c:v>
                </c:pt>
                <c:pt idx="34">
                  <c:v>3</c:v>
                </c:pt>
                <c:pt idx="35">
                  <c:v>2.95</c:v>
                </c:pt>
                <c:pt idx="36">
                  <c:v>2.94</c:v>
                </c:pt>
                <c:pt idx="37">
                  <c:v>2.91</c:v>
                </c:pt>
                <c:pt idx="38">
                  <c:v>2.83</c:v>
                </c:pt>
                <c:pt idx="39">
                  <c:v>2.7899999999999996</c:v>
                </c:pt>
                <c:pt idx="40">
                  <c:v>2.74</c:v>
                </c:pt>
                <c:pt idx="41">
                  <c:v>2.75</c:v>
                </c:pt>
                <c:pt idx="42">
                  <c:v>2.7300000000000004</c:v>
                </c:pt>
                <c:pt idx="43">
                  <c:v>2.7600000000000007</c:v>
                </c:pt>
                <c:pt idx="44">
                  <c:v>2.79</c:v>
                </c:pt>
                <c:pt idx="45">
                  <c:v>2.8200000000000003</c:v>
                </c:pt>
                <c:pt idx="46">
                  <c:v>2.8</c:v>
                </c:pt>
                <c:pt idx="47">
                  <c:v>2.7800000000000002</c:v>
                </c:pt>
                <c:pt idx="48">
                  <c:v>2.8100000000000005</c:v>
                </c:pt>
                <c:pt idx="49">
                  <c:v>2.8400000000000007</c:v>
                </c:pt>
                <c:pt idx="50">
                  <c:v>2.87</c:v>
                </c:pt>
                <c:pt idx="51">
                  <c:v>2.9300000000000006</c:v>
                </c:pt>
                <c:pt idx="52">
                  <c:v>2.9700000000000006</c:v>
                </c:pt>
                <c:pt idx="53">
                  <c:v>2.9800000000000004</c:v>
                </c:pt>
                <c:pt idx="54">
                  <c:v>3.04</c:v>
                </c:pt>
                <c:pt idx="55">
                  <c:v>3.0600000000000005</c:v>
                </c:pt>
                <c:pt idx="56">
                  <c:v>3.0700000000000003</c:v>
                </c:pt>
                <c:pt idx="57">
                  <c:v>3.0600000000000005</c:v>
                </c:pt>
                <c:pt idx="58">
                  <c:v>3.0700000000000003</c:v>
                </c:pt>
                <c:pt idx="59">
                  <c:v>3.08</c:v>
                </c:pt>
                <c:pt idx="60">
                  <c:v>3.0900000000000007</c:v>
                </c:pt>
                <c:pt idx="61">
                  <c:v>3.08</c:v>
                </c:pt>
                <c:pt idx="62">
                  <c:v>3.1400000000000006</c:v>
                </c:pt>
                <c:pt idx="63">
                  <c:v>3.1500000000000004</c:v>
                </c:pt>
                <c:pt idx="64">
                  <c:v>3.1500000000000004</c:v>
                </c:pt>
                <c:pt idx="65">
                  <c:v>3.2099999999999995</c:v>
                </c:pt>
                <c:pt idx="66">
                  <c:v>3.19</c:v>
                </c:pt>
                <c:pt idx="67">
                  <c:v>3.2</c:v>
                </c:pt>
                <c:pt idx="68">
                  <c:v>3.27</c:v>
                </c:pt>
                <c:pt idx="69">
                  <c:v>3.2499999999999996</c:v>
                </c:pt>
                <c:pt idx="70">
                  <c:v>3.2399999999999998</c:v>
                </c:pt>
                <c:pt idx="71">
                  <c:v>3.2499999999999996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A-4D1A-A7C0-7D1EA753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761151"/>
        <c:axId val="94268351"/>
      </c:lineChart>
      <c:dateAx>
        <c:axId val="219761151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68351"/>
        <c:crosses val="autoZero"/>
        <c:auto val="1"/>
        <c:lblOffset val="100"/>
        <c:baseTimeUnit val="months"/>
      </c:dateAx>
      <c:valAx>
        <c:axId val="942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Spread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6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AUD/USD Exchange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Financial_Conditions!$D$1</c:f>
              <c:strCache>
                <c:ptCount val="1"/>
                <c:pt idx="0">
                  <c:v>AUD/USD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Financial_Conditions!$C$2:$C$73</c:f>
              <c:numCache>
                <c:formatCode>m/d/yyyy</c:formatCode>
                <c:ptCount val="7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</c:numCache>
            </c:numRef>
          </c:cat>
          <c:val>
            <c:numRef>
              <c:f>Financial_Conditions!$D$2:$D$73</c:f>
              <c:numCache>
                <c:formatCode>General</c:formatCode>
                <c:ptCount val="72"/>
                <c:pt idx="0">
                  <c:v>0.6724</c:v>
                </c:pt>
                <c:pt idx="1">
                  <c:v>0.65239999999999998</c:v>
                </c:pt>
                <c:pt idx="2">
                  <c:v>0.61750000000000005</c:v>
                </c:pt>
                <c:pt idx="3">
                  <c:v>0.65659999999999996</c:v>
                </c:pt>
                <c:pt idx="4">
                  <c:v>0.66590000000000005</c:v>
                </c:pt>
                <c:pt idx="5">
                  <c:v>0.68630000000000002</c:v>
                </c:pt>
                <c:pt idx="6">
                  <c:v>0.72130000000000005</c:v>
                </c:pt>
                <c:pt idx="7">
                  <c:v>0.73540000000000005</c:v>
                </c:pt>
                <c:pt idx="8">
                  <c:v>0.71079999999999999</c:v>
                </c:pt>
                <c:pt idx="9">
                  <c:v>0.70440000000000003</c:v>
                </c:pt>
                <c:pt idx="10">
                  <c:v>0.73929999999999996</c:v>
                </c:pt>
                <c:pt idx="11">
                  <c:v>0.7702</c:v>
                </c:pt>
                <c:pt idx="12">
                  <c:v>0.76449999999999996</c:v>
                </c:pt>
                <c:pt idx="13">
                  <c:v>0.78290000000000004</c:v>
                </c:pt>
                <c:pt idx="14">
                  <c:v>0.76019999999999999</c:v>
                </c:pt>
                <c:pt idx="15">
                  <c:v>0.77759999999999996</c:v>
                </c:pt>
                <c:pt idx="16">
                  <c:v>0.77249999999999996</c:v>
                </c:pt>
                <c:pt idx="17">
                  <c:v>0.75180000000000002</c:v>
                </c:pt>
                <c:pt idx="18">
                  <c:v>0.73809999999999998</c:v>
                </c:pt>
                <c:pt idx="19">
                  <c:v>0.73350000000000004</c:v>
                </c:pt>
                <c:pt idx="20">
                  <c:v>0.72060000000000002</c:v>
                </c:pt>
                <c:pt idx="21">
                  <c:v>0.75460000000000005</c:v>
                </c:pt>
                <c:pt idx="22">
                  <c:v>0.71440000000000003</c:v>
                </c:pt>
                <c:pt idx="23">
                  <c:v>0.72560000000000002</c:v>
                </c:pt>
                <c:pt idx="24">
                  <c:v>0.70109999999999995</c:v>
                </c:pt>
                <c:pt idx="25">
                  <c:v>0.71819999999999995</c:v>
                </c:pt>
                <c:pt idx="26">
                  <c:v>0.74819999999999998</c:v>
                </c:pt>
                <c:pt idx="27">
                  <c:v>0.71479999999999999</c:v>
                </c:pt>
                <c:pt idx="28">
                  <c:v>0.71870000000000001</c:v>
                </c:pt>
                <c:pt idx="29">
                  <c:v>0.68889999999999996</c:v>
                </c:pt>
                <c:pt idx="30">
                  <c:v>0.70069999999999999</c:v>
                </c:pt>
                <c:pt idx="31">
                  <c:v>0.69020000000000004</c:v>
                </c:pt>
                <c:pt idx="32">
                  <c:v>0.6502</c:v>
                </c:pt>
                <c:pt idx="33">
                  <c:v>0.64200000000000002</c:v>
                </c:pt>
                <c:pt idx="34">
                  <c:v>0.66979999999999995</c:v>
                </c:pt>
                <c:pt idx="35">
                  <c:v>0.67749999999999999</c:v>
                </c:pt>
                <c:pt idx="36">
                  <c:v>0.70369999999999999</c:v>
                </c:pt>
                <c:pt idx="37">
                  <c:v>0.67300000000000004</c:v>
                </c:pt>
                <c:pt idx="38">
                  <c:v>0.67120000000000002</c:v>
                </c:pt>
                <c:pt idx="39">
                  <c:v>0.66100000000000003</c:v>
                </c:pt>
                <c:pt idx="40">
                  <c:v>0.64949999999999997</c:v>
                </c:pt>
                <c:pt idx="41">
                  <c:v>0.66300000000000003</c:v>
                </c:pt>
                <c:pt idx="42">
                  <c:v>0.66820000000000002</c:v>
                </c:pt>
                <c:pt idx="43">
                  <c:v>0.64849999999999997</c:v>
                </c:pt>
                <c:pt idx="44">
                  <c:v>0.64580000000000004</c:v>
                </c:pt>
                <c:pt idx="45">
                  <c:v>0.63460000000000005</c:v>
                </c:pt>
                <c:pt idx="46">
                  <c:v>0.66479999999999995</c:v>
                </c:pt>
                <c:pt idx="47">
                  <c:v>0.68400000000000005</c:v>
                </c:pt>
                <c:pt idx="48">
                  <c:v>0.65739999999999998</c:v>
                </c:pt>
                <c:pt idx="49">
                  <c:v>0.65190000000000003</c:v>
                </c:pt>
                <c:pt idx="50">
                  <c:v>0.6532</c:v>
                </c:pt>
                <c:pt idx="51">
                  <c:v>0.65249999999999997</c:v>
                </c:pt>
                <c:pt idx="52">
                  <c:v>0.66369999999999996</c:v>
                </c:pt>
                <c:pt idx="53">
                  <c:v>0.66239999999999999</c:v>
                </c:pt>
                <c:pt idx="54">
                  <c:v>0.64910000000000001</c:v>
                </c:pt>
                <c:pt idx="55">
                  <c:v>0.68059999999999998</c:v>
                </c:pt>
                <c:pt idx="56">
                  <c:v>0.69320000000000004</c:v>
                </c:pt>
                <c:pt idx="57">
                  <c:v>0.65690000000000004</c:v>
                </c:pt>
                <c:pt idx="58">
                  <c:v>0.65169999999999995</c:v>
                </c:pt>
                <c:pt idx="59">
                  <c:v>0.62170000000000003</c:v>
                </c:pt>
                <c:pt idx="60">
                  <c:v>0.62250000000000005</c:v>
                </c:pt>
                <c:pt idx="61">
                  <c:v>0.62139999999999995</c:v>
                </c:pt>
                <c:pt idx="62">
                  <c:v>0.628</c:v>
                </c:pt>
                <c:pt idx="63">
                  <c:v>0.64159999999999995</c:v>
                </c:pt>
                <c:pt idx="64">
                  <c:v>0.64359999999999995</c:v>
                </c:pt>
                <c:pt idx="65">
                  <c:v>0.65500000000000003</c:v>
                </c:pt>
                <c:pt idx="66">
                  <c:v>0.64690000000000003</c:v>
                </c:pt>
                <c:pt idx="67">
                  <c:v>0.65380000000000005</c:v>
                </c:pt>
                <c:pt idx="68">
                  <c:v>0.66020000000000001</c:v>
                </c:pt>
                <c:pt idx="69">
                  <c:v>0.65510000000000002</c:v>
                </c:pt>
                <c:pt idx="70">
                  <c:v>0.65329999999999999</c:v>
                </c:pt>
                <c:pt idx="71">
                  <c:v>0.66930000000000001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2-438F-9377-7C1C09DB3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8160"/>
        <c:axId val="94282751"/>
      </c:lineChart>
      <c:dateAx>
        <c:axId val="97060816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2751"/>
        <c:crosses val="autoZero"/>
        <c:auto val="1"/>
        <c:lblOffset val="100"/>
        <c:baseTimeUnit val="months"/>
      </c:dateAx>
      <c:valAx>
        <c:axId val="94282751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USD per AUD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0816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168087</xdr:colOff>
      <xdr:row>1</xdr:row>
      <xdr:rowOff>11208</xdr:rowOff>
    </xdr:from>
    <xdr:to>
      <xdr:col>17</xdr:col>
      <xdr:colOff>246529</xdr:colOff>
      <xdr:row>5</xdr:row>
      <xdr:rowOff>33617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A3211BC-5D8C-D6DB-07A3-D05BA87A7D54}"/>
            </a:ext>
          </a:extLst>
        </xdr:cNvPr>
        <xdr:cNvSpPr/>
      </xdr:nvSpPr>
      <xdr:spPr>
        <a:xfrm>
          <a:off x="6555440" y="201708"/>
          <a:ext cx="8494060" cy="91888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Australian Financial Conditions Dashboard — 2020 to 2025</a:t>
          </a:r>
          <a:endParaRPr lang="en-GB" sz="2000">
            <a:effectLst/>
          </a:endParaRPr>
        </a:p>
      </xdr:txBody>
    </xdr:sp>
    <xdr:clientData/>
  </xdr:twoCellAnchor>
  <xdr:twoCellAnchor>
    <xdr:from>
      <xdr:col>2</xdr:col>
      <xdr:colOff>145677</xdr:colOff>
      <xdr:row>6</xdr:row>
      <xdr:rowOff>0</xdr:rowOff>
    </xdr:from>
    <xdr:to>
      <xdr:col>6</xdr:col>
      <xdr:colOff>0</xdr:colOff>
      <xdr:row>18</xdr:row>
      <xdr:rowOff>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0993B-C56A-4923-B09B-0E678467E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0</xdr:rowOff>
    </xdr:from>
    <xdr:to>
      <xdr:col>13</xdr:col>
      <xdr:colOff>304800</xdr:colOff>
      <xdr:row>18</xdr:row>
      <xdr:rowOff>54000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CEAA7E-45F9-4916-ABC4-6AD229D65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304800</xdr:colOff>
      <xdr:row>6</xdr:row>
      <xdr:rowOff>0</xdr:rowOff>
    </xdr:from>
    <xdr:to>
      <xdr:col>21</xdr:col>
      <xdr:colOff>0</xdr:colOff>
      <xdr:row>18</xdr:row>
      <xdr:rowOff>54000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DBE2CB-2B44-445A-84E5-2EDEDA862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459441</xdr:colOff>
      <xdr:row>2</xdr:row>
      <xdr:rowOff>56029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0B0134-0DEF-1912-2D94-142FCF0D88B4}"/>
            </a:ext>
          </a:extLst>
        </xdr:cNvPr>
        <xdr:cNvSpPr txBox="1"/>
      </xdr:nvSpPr>
      <xdr:spPr>
        <a:xfrm>
          <a:off x="9211235" y="470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EDF281A-BD9F-4557-B311-98ABD087167D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4"/>
      <queryTableField id="2" name="AUD/USD" tableColumnId="2"/>
      <queryTableField id="3" name="Trade-weighted index" tableColumnId="3"/>
      <queryTableField id="4" name="Month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FAE449F-4895-49E8-9794-74A90FD8EDC7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3"/>
      <queryTableField id="2" name="Cash_Rat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017F74-8A85-4C8F-8277-2F5F2289BBB5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5"/>
      <queryTableField id="2" name="Small_Business_Total" tableColumnId="2"/>
      <queryTableField id="3" name="Small_Business_Variable" tableColumnId="3"/>
      <queryTableField id="4" name="Small_Business_Fixed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F4C2B98-8F86-4D63-9173-2C94AB09009E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Date" tableColumnId="9"/>
      <queryTableField id="2" name="Cash_Rates" tableColumnId="2"/>
      <queryTableField id="3" name="Month" tableColumnId="3"/>
      <queryTableField id="4" name="AUD/USD" tableColumnId="4"/>
      <queryTableField id="5" name="Trade-weighted index" tableColumnId="5"/>
      <queryTableField id="6" name="Small_Business_Total" tableColumnId="6"/>
      <queryTableField id="7" name="Small_Business_Variable" tableColumnId="7"/>
      <queryTableField id="8" name="Small_Business_Fixed" tableColumnId="8"/>
      <queryTableField id="9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5BB8BF-F58F-4F36-8CB3-2937FC557266}" name="Exchange_Rates" displayName="Exchange_Rates" ref="A1:D73" tableType="queryTable" totalsRowShown="0">
  <autoFilter ref="A1:D73" xr:uid="{5F5BB8BF-F58F-4F36-8CB3-2937FC557266}"/>
  <tableColumns count="4">
    <tableColumn id="4" xr3:uid="{ADE67A57-BB8C-4F7D-B51F-254509BB2D08}" uniqueName="4" name="Date" queryTableFieldId="1" dataDxfId="7"/>
    <tableColumn id="2" xr3:uid="{C39BF809-BE60-4C57-A4EB-A47CFB508F9B}" uniqueName="2" name="AUD/USD" queryTableFieldId="2"/>
    <tableColumn id="3" xr3:uid="{58FB358A-A1BF-4EF0-9165-9262E2E24F72}" uniqueName="3" name="Trade-weighted index" queryTableFieldId="3"/>
    <tableColumn id="5" xr3:uid="{DF867236-1E10-44D0-B1AF-9F7F6412B780}" uniqueName="5" name="Month" queryTableFieldId="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B1EA1-AEF7-4CD2-931B-910BDBAF1869}" name="Cash_Rates" displayName="Cash_Rates" ref="A1:B73" tableType="queryTable" totalsRowShown="0">
  <autoFilter ref="A1:B73" xr:uid="{4CCB1EA1-AEF7-4CD2-931B-910BDBAF1869}"/>
  <tableColumns count="2">
    <tableColumn id="3" xr3:uid="{725F1FB3-6EB5-45EC-85DD-D745B8D9AA94}" uniqueName="3" name="Date" queryTableFieldId="1" dataDxfId="5"/>
    <tableColumn id="2" xr3:uid="{7363784C-8C0E-4514-9DCA-0B7E548F37F0}" uniqueName="2" name="Cash_Rates" queryTableFieldId="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0AAA78-3989-4A4E-9770-33B0B5DFBC80}" name="Business_Rates" displayName="Business_Rates" ref="A1:D73" tableType="queryTable" totalsRowShown="0">
  <autoFilter ref="A1:D73" xr:uid="{B40AAA78-3989-4A4E-9770-33B0B5DFBC80}"/>
  <tableColumns count="4">
    <tableColumn id="5" xr3:uid="{B8921B99-AF76-4CF7-BBA7-32F22647EA10}" uniqueName="5" name="Date" queryTableFieldId="1" dataDxfId="3"/>
    <tableColumn id="2" xr3:uid="{6A158037-58BA-4A6E-B002-94A5D49BF6AE}" uniqueName="2" name="Small_Business_Total" queryTableFieldId="2"/>
    <tableColumn id="3" xr3:uid="{154AD81B-213D-4E0F-96C9-BB88DB89B87E}" uniqueName="3" name="Small_Business_Variable" queryTableFieldId="3"/>
    <tableColumn id="4" xr3:uid="{035FF813-0A28-4CCC-9F8A-3A06E97CC7CD}" uniqueName="4" name="Small_Business_Fixed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DE6060-B3BA-4901-9519-8D7F2C7B50A7}" name="Financial_Conditions" displayName="Financial_Conditions" ref="A1:I73" tableType="queryTable" totalsRowShown="0">
  <autoFilter ref="A1:I73" xr:uid="{38DE6060-B3BA-4901-9519-8D7F2C7B50A7}"/>
  <tableColumns count="9">
    <tableColumn id="9" xr3:uid="{CB7F7F52-4CF1-42B1-8BF9-64B2D7E69EF7}" uniqueName="9" name="Date" queryTableFieldId="1" dataDxfId="2"/>
    <tableColumn id="2" xr3:uid="{5F5B0940-4F9B-415F-8CDF-873F5942D9F4}" uniqueName="2" name="Cash_Rates" queryTableFieldId="2"/>
    <tableColumn id="3" xr3:uid="{72856687-C88A-45FC-9480-2D19AB8917E1}" uniqueName="3" name="Month" queryTableFieldId="3" dataDxfId="1"/>
    <tableColumn id="4" xr3:uid="{169952FF-42AE-4751-9DBA-63E3D3AB6485}" uniqueName="4" name="AUD/USD" queryTableFieldId="4"/>
    <tableColumn id="5" xr3:uid="{6AF8D371-7912-48B1-B095-658D6B565536}" uniqueName="5" name="Trade-weighted index" queryTableFieldId="5"/>
    <tableColumn id="6" xr3:uid="{450DACD3-21D8-4424-868A-FF150763A152}" uniqueName="6" name="Small_Business_Total" queryTableFieldId="6"/>
    <tableColumn id="7" xr3:uid="{E54FAABA-2562-42A9-9987-A562B1B354F9}" uniqueName="7" name="Small_Business_Variable" queryTableFieldId="7"/>
    <tableColumn id="8" xr3:uid="{75F3608D-5681-4EBB-93E1-92254DC4AFA3}" uniqueName="8" name="Small_Business_Fixed" queryTableFieldId="8"/>
    <tableColumn id="10" xr3:uid="{C2FAC35D-20D2-401A-86EA-C02F3C27E227}" uniqueName="10" name="Spread" queryTableFieldId="9" dataDxfId="0">
      <calculatedColumnFormula>IFERROR(F2-B2,"")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102C-2EB9-414C-AE3D-10FCEA65F78B}">
  <dimension ref="A1:D73"/>
  <sheetViews>
    <sheetView workbookViewId="0">
      <selection sqref="A1:C73"/>
    </sheetView>
  </sheetViews>
  <sheetFormatPr defaultRowHeight="15" x14ac:dyDescent="0.25"/>
  <cols>
    <col min="1" max="1" width="10.7109375" bestFit="1" customWidth="1"/>
    <col min="2" max="2" width="11.85546875" bestFit="1" customWidth="1"/>
    <col min="3" max="3" width="23.140625" bestFit="1" customWidth="1"/>
    <col min="4" max="4" width="1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t="s">
        <v>7</v>
      </c>
    </row>
    <row r="2" spans="1:4" x14ac:dyDescent="0.25">
      <c r="A2" s="2">
        <v>43861</v>
      </c>
      <c r="B2" s="1">
        <v>0.6724</v>
      </c>
      <c r="C2" s="1">
        <v>58.1</v>
      </c>
      <c r="D2" s="2">
        <v>43831</v>
      </c>
    </row>
    <row r="3" spans="1:4" x14ac:dyDescent="0.25">
      <c r="A3" s="2">
        <v>43889</v>
      </c>
      <c r="B3" s="1">
        <v>0.65239999999999998</v>
      </c>
      <c r="C3" s="1">
        <v>57</v>
      </c>
      <c r="D3" s="2">
        <v>43862</v>
      </c>
    </row>
    <row r="4" spans="1:4" x14ac:dyDescent="0.25">
      <c r="A4" s="2">
        <v>43921</v>
      </c>
      <c r="B4" s="1">
        <v>0.61750000000000005</v>
      </c>
      <c r="C4" s="1">
        <v>54.7</v>
      </c>
      <c r="D4" s="2">
        <v>43891</v>
      </c>
    </row>
    <row r="5" spans="1:4" x14ac:dyDescent="0.25">
      <c r="A5" s="2">
        <v>43951</v>
      </c>
      <c r="B5" s="1">
        <v>0.65659999999999996</v>
      </c>
      <c r="C5" s="1">
        <v>57.8</v>
      </c>
      <c r="D5" s="2">
        <v>43922</v>
      </c>
    </row>
    <row r="6" spans="1:4" x14ac:dyDescent="0.25">
      <c r="A6" s="2">
        <v>43980</v>
      </c>
      <c r="B6" s="1">
        <v>0.66590000000000005</v>
      </c>
      <c r="C6" s="1">
        <v>58.8</v>
      </c>
      <c r="D6" s="2">
        <v>43952</v>
      </c>
    </row>
    <row r="7" spans="1:4" x14ac:dyDescent="0.25">
      <c r="A7" s="2">
        <v>44012</v>
      </c>
      <c r="B7" s="1">
        <v>0.68630000000000002</v>
      </c>
      <c r="C7" s="1">
        <v>60</v>
      </c>
      <c r="D7" s="2">
        <v>43983</v>
      </c>
    </row>
    <row r="8" spans="1:4" x14ac:dyDescent="0.25">
      <c r="A8" s="2">
        <v>44043</v>
      </c>
      <c r="B8" s="1">
        <v>0.72130000000000005</v>
      </c>
      <c r="C8" s="1">
        <v>61.9</v>
      </c>
      <c r="D8" s="2">
        <v>44013</v>
      </c>
    </row>
    <row r="9" spans="1:4" x14ac:dyDescent="0.25">
      <c r="A9" s="2">
        <v>44074</v>
      </c>
      <c r="B9" s="1">
        <v>0.73540000000000005</v>
      </c>
      <c r="C9" s="1">
        <v>62.6</v>
      </c>
      <c r="D9" s="2">
        <v>44044</v>
      </c>
    </row>
    <row r="10" spans="1:4" x14ac:dyDescent="0.25">
      <c r="A10" s="2">
        <v>44104</v>
      </c>
      <c r="B10" s="1">
        <v>0.71079999999999999</v>
      </c>
      <c r="C10" s="1">
        <v>60.7</v>
      </c>
      <c r="D10" s="2">
        <v>44075</v>
      </c>
    </row>
    <row r="11" spans="1:4" x14ac:dyDescent="0.25">
      <c r="A11" s="2">
        <v>44134</v>
      </c>
      <c r="B11" s="1">
        <v>0.70440000000000003</v>
      </c>
      <c r="C11" s="1">
        <v>59.5</v>
      </c>
      <c r="D11" s="2">
        <v>44105</v>
      </c>
    </row>
    <row r="12" spans="1:4" x14ac:dyDescent="0.25">
      <c r="A12" s="2">
        <v>44165</v>
      </c>
      <c r="B12" s="1">
        <v>0.73929999999999996</v>
      </c>
      <c r="C12" s="1">
        <v>61.5</v>
      </c>
      <c r="D12" s="2">
        <v>44136</v>
      </c>
    </row>
    <row r="13" spans="1:4" x14ac:dyDescent="0.25">
      <c r="A13" s="2">
        <v>44196</v>
      </c>
      <c r="B13" s="1">
        <v>0.7702</v>
      </c>
      <c r="C13" s="1">
        <v>63.4</v>
      </c>
      <c r="D13" s="2">
        <v>44166</v>
      </c>
    </row>
    <row r="14" spans="1:4" x14ac:dyDescent="0.25">
      <c r="A14" s="2">
        <v>44225</v>
      </c>
      <c r="B14" s="1">
        <v>0.76449999999999996</v>
      </c>
      <c r="C14" s="1">
        <v>63</v>
      </c>
      <c r="D14" s="2">
        <v>44197</v>
      </c>
    </row>
    <row r="15" spans="1:4" x14ac:dyDescent="0.25">
      <c r="A15" s="2">
        <v>44253</v>
      </c>
      <c r="B15" s="1">
        <v>0.78290000000000004</v>
      </c>
      <c r="C15" s="1">
        <v>64.5</v>
      </c>
      <c r="D15" s="2">
        <v>44228</v>
      </c>
    </row>
    <row r="16" spans="1:4" x14ac:dyDescent="0.25">
      <c r="A16" s="2">
        <v>44286</v>
      </c>
      <c r="B16" s="1">
        <v>0.76019999999999999</v>
      </c>
      <c r="C16" s="1">
        <v>63.9</v>
      </c>
      <c r="D16" s="2">
        <v>44256</v>
      </c>
    </row>
    <row r="17" spans="1:4" x14ac:dyDescent="0.25">
      <c r="A17" s="2">
        <v>44316</v>
      </c>
      <c r="B17" s="1">
        <v>0.77759999999999996</v>
      </c>
      <c r="C17" s="1">
        <v>64.400000000000006</v>
      </c>
      <c r="D17" s="2">
        <v>44287</v>
      </c>
    </row>
    <row r="18" spans="1:4" x14ac:dyDescent="0.25">
      <c r="A18" s="2">
        <v>44347</v>
      </c>
      <c r="B18" s="1">
        <v>0.77249999999999996</v>
      </c>
      <c r="C18" s="1">
        <v>63.5</v>
      </c>
      <c r="D18" s="2">
        <v>44317</v>
      </c>
    </row>
    <row r="19" spans="1:4" x14ac:dyDescent="0.25">
      <c r="A19" s="2">
        <v>44377</v>
      </c>
      <c r="B19" s="1">
        <v>0.75180000000000002</v>
      </c>
      <c r="C19" s="1">
        <v>62.7</v>
      </c>
      <c r="D19" s="2">
        <v>44348</v>
      </c>
    </row>
    <row r="20" spans="1:4" x14ac:dyDescent="0.25">
      <c r="A20" s="2">
        <v>44407</v>
      </c>
      <c r="B20" s="1">
        <v>0.73809999999999998</v>
      </c>
      <c r="C20" s="1">
        <v>61.6</v>
      </c>
      <c r="D20" s="2">
        <v>44378</v>
      </c>
    </row>
    <row r="21" spans="1:4" x14ac:dyDescent="0.25">
      <c r="A21" s="2">
        <v>44439</v>
      </c>
      <c r="B21" s="1">
        <v>0.73350000000000004</v>
      </c>
      <c r="C21" s="1">
        <v>61.2</v>
      </c>
      <c r="D21" s="2">
        <v>44409</v>
      </c>
    </row>
    <row r="22" spans="1:4" x14ac:dyDescent="0.25">
      <c r="A22" s="2">
        <v>44469</v>
      </c>
      <c r="B22" s="1">
        <v>0.72060000000000002</v>
      </c>
      <c r="C22" s="1">
        <v>60.8</v>
      </c>
      <c r="D22" s="2">
        <v>44440</v>
      </c>
    </row>
    <row r="23" spans="1:4" x14ac:dyDescent="0.25">
      <c r="A23" s="2">
        <v>44498</v>
      </c>
      <c r="B23" s="1">
        <v>0.75460000000000005</v>
      </c>
      <c r="C23" s="1">
        <v>63.1</v>
      </c>
      <c r="D23" s="2">
        <v>44470</v>
      </c>
    </row>
    <row r="24" spans="1:4" x14ac:dyDescent="0.25">
      <c r="A24" s="2">
        <v>44530</v>
      </c>
      <c r="B24" s="1">
        <v>0.71440000000000003</v>
      </c>
      <c r="C24" s="1">
        <v>60.2</v>
      </c>
      <c r="D24" s="2">
        <v>44501</v>
      </c>
    </row>
    <row r="25" spans="1:4" x14ac:dyDescent="0.25">
      <c r="A25" s="2">
        <v>44561</v>
      </c>
      <c r="B25" s="1">
        <v>0.72560000000000002</v>
      </c>
      <c r="C25" s="1">
        <v>61.1</v>
      </c>
      <c r="D25" s="2">
        <v>44531</v>
      </c>
    </row>
    <row r="26" spans="1:4" x14ac:dyDescent="0.25">
      <c r="A26" s="2">
        <v>44592</v>
      </c>
      <c r="B26" s="1">
        <v>0.70109999999999995</v>
      </c>
      <c r="C26" s="1">
        <v>59.3</v>
      </c>
      <c r="D26" s="2">
        <v>44562</v>
      </c>
    </row>
    <row r="27" spans="1:4" x14ac:dyDescent="0.25">
      <c r="A27" s="2">
        <v>44620</v>
      </c>
      <c r="B27" s="1">
        <v>0.71819999999999995</v>
      </c>
      <c r="C27" s="1">
        <v>60.6</v>
      </c>
      <c r="D27" s="2">
        <v>44593</v>
      </c>
    </row>
    <row r="28" spans="1:4" x14ac:dyDescent="0.25">
      <c r="A28" s="2">
        <v>44651</v>
      </c>
      <c r="B28" s="1">
        <v>0.74819999999999998</v>
      </c>
      <c r="C28" s="1">
        <v>63.6</v>
      </c>
      <c r="D28" s="2">
        <v>44621</v>
      </c>
    </row>
    <row r="29" spans="1:4" x14ac:dyDescent="0.25">
      <c r="A29" s="2">
        <v>44680</v>
      </c>
      <c r="B29" s="1">
        <v>0.71479999999999999</v>
      </c>
      <c r="C29" s="1">
        <v>63.1</v>
      </c>
      <c r="D29" s="2">
        <v>44652</v>
      </c>
    </row>
    <row r="30" spans="1:4" x14ac:dyDescent="0.25">
      <c r="A30" s="2">
        <v>44712</v>
      </c>
      <c r="B30" s="1">
        <v>0.71870000000000001</v>
      </c>
      <c r="C30" s="1">
        <v>63.2</v>
      </c>
      <c r="D30" s="2">
        <v>44682</v>
      </c>
    </row>
    <row r="31" spans="1:4" x14ac:dyDescent="0.25">
      <c r="A31" s="2">
        <v>44742</v>
      </c>
      <c r="B31" s="1">
        <v>0.68889999999999996</v>
      </c>
      <c r="C31" s="1">
        <v>61.8</v>
      </c>
      <c r="D31" s="2">
        <v>44713</v>
      </c>
    </row>
    <row r="32" spans="1:4" x14ac:dyDescent="0.25">
      <c r="A32" s="2">
        <v>44771</v>
      </c>
      <c r="B32" s="1">
        <v>0.70069999999999999</v>
      </c>
      <c r="C32" s="1">
        <v>63.1</v>
      </c>
      <c r="D32" s="2">
        <v>44743</v>
      </c>
    </row>
    <row r="33" spans="1:4" x14ac:dyDescent="0.25">
      <c r="A33" s="2">
        <v>44804</v>
      </c>
      <c r="B33" s="1">
        <v>0.69020000000000004</v>
      </c>
      <c r="C33" s="1">
        <v>63.3</v>
      </c>
      <c r="D33" s="2">
        <v>44774</v>
      </c>
    </row>
    <row r="34" spans="1:4" x14ac:dyDescent="0.25">
      <c r="A34" s="2">
        <v>44834</v>
      </c>
      <c r="B34" s="1">
        <v>0.6502</v>
      </c>
      <c r="C34" s="1">
        <v>61.5</v>
      </c>
      <c r="D34" s="2">
        <v>44805</v>
      </c>
    </row>
    <row r="35" spans="1:4" x14ac:dyDescent="0.25">
      <c r="A35" s="2">
        <v>44865</v>
      </c>
      <c r="B35" s="1">
        <v>0.64200000000000002</v>
      </c>
      <c r="C35" s="1">
        <v>61.3</v>
      </c>
      <c r="D35" s="2">
        <v>44835</v>
      </c>
    </row>
    <row r="36" spans="1:4" x14ac:dyDescent="0.25">
      <c r="A36" s="2">
        <v>44895</v>
      </c>
      <c r="B36" s="1">
        <v>0.66979999999999995</v>
      </c>
      <c r="C36" s="1">
        <v>62.1</v>
      </c>
      <c r="D36" s="2">
        <v>44866</v>
      </c>
    </row>
    <row r="37" spans="1:4" x14ac:dyDescent="0.25">
      <c r="A37" s="2">
        <v>44925</v>
      </c>
      <c r="B37" s="1">
        <v>0.67749999999999999</v>
      </c>
      <c r="C37" s="1">
        <v>61.4</v>
      </c>
      <c r="D37" s="2">
        <v>44896</v>
      </c>
    </row>
    <row r="38" spans="1:4" x14ac:dyDescent="0.25">
      <c r="A38" s="2">
        <v>44957</v>
      </c>
      <c r="B38" s="1">
        <v>0.70369999999999999</v>
      </c>
      <c r="C38" s="1">
        <v>62.4</v>
      </c>
      <c r="D38" s="2">
        <v>44927</v>
      </c>
    </row>
    <row r="39" spans="1:4" x14ac:dyDescent="0.25">
      <c r="A39" s="2">
        <v>44985</v>
      </c>
      <c r="B39" s="1">
        <v>0.67300000000000004</v>
      </c>
      <c r="C39" s="1">
        <v>61.4</v>
      </c>
      <c r="D39" s="2">
        <v>44958</v>
      </c>
    </row>
    <row r="40" spans="1:4" x14ac:dyDescent="0.25">
      <c r="A40" s="2">
        <v>45016</v>
      </c>
      <c r="B40" s="1">
        <v>0.67120000000000002</v>
      </c>
      <c r="C40" s="1">
        <v>60.3</v>
      </c>
      <c r="D40" s="2">
        <v>44986</v>
      </c>
    </row>
    <row r="41" spans="1:4" x14ac:dyDescent="0.25">
      <c r="A41" s="2">
        <v>45044</v>
      </c>
      <c r="B41" s="1">
        <v>0.66100000000000003</v>
      </c>
      <c r="C41" s="1">
        <v>59.8</v>
      </c>
      <c r="D41" s="2">
        <v>45017</v>
      </c>
    </row>
    <row r="42" spans="1:4" x14ac:dyDescent="0.25">
      <c r="A42" s="2">
        <v>45077</v>
      </c>
      <c r="B42" s="1">
        <v>0.64949999999999997</v>
      </c>
      <c r="C42" s="1">
        <v>59.8</v>
      </c>
      <c r="D42" s="2">
        <v>45047</v>
      </c>
    </row>
    <row r="43" spans="1:4" x14ac:dyDescent="0.25">
      <c r="A43" s="2">
        <v>45107</v>
      </c>
      <c r="B43" s="1">
        <v>0.66300000000000003</v>
      </c>
      <c r="C43" s="1">
        <v>61.7</v>
      </c>
      <c r="D43" s="2">
        <v>45078</v>
      </c>
    </row>
    <row r="44" spans="1:4" x14ac:dyDescent="0.25">
      <c r="A44" s="2">
        <v>45138</v>
      </c>
      <c r="B44" s="1">
        <v>0.66820000000000002</v>
      </c>
      <c r="C44" s="1">
        <v>61.3</v>
      </c>
      <c r="D44" s="2">
        <v>45108</v>
      </c>
    </row>
    <row r="45" spans="1:4" x14ac:dyDescent="0.25">
      <c r="A45" s="2">
        <v>45169</v>
      </c>
      <c r="B45" s="1">
        <v>0.64849999999999997</v>
      </c>
      <c r="C45" s="1">
        <v>60.6</v>
      </c>
      <c r="D45" s="2">
        <v>45139</v>
      </c>
    </row>
    <row r="46" spans="1:4" x14ac:dyDescent="0.25">
      <c r="A46" s="2">
        <v>45198</v>
      </c>
      <c r="B46" s="1">
        <v>0.64580000000000004</v>
      </c>
      <c r="C46" s="1">
        <v>61.1</v>
      </c>
      <c r="D46" s="2">
        <v>45170</v>
      </c>
    </row>
    <row r="47" spans="1:4" x14ac:dyDescent="0.25">
      <c r="A47" s="2">
        <v>45230</v>
      </c>
      <c r="B47" s="1">
        <v>0.63460000000000005</v>
      </c>
      <c r="C47" s="1">
        <v>60.2</v>
      </c>
      <c r="D47" s="2">
        <v>45200</v>
      </c>
    </row>
    <row r="48" spans="1:4" x14ac:dyDescent="0.25">
      <c r="A48" s="2">
        <v>45260</v>
      </c>
      <c r="B48" s="1">
        <v>0.66479999999999995</v>
      </c>
      <c r="C48" s="1">
        <v>61.5</v>
      </c>
      <c r="D48" s="2">
        <v>45231</v>
      </c>
    </row>
    <row r="49" spans="1:4" x14ac:dyDescent="0.25">
      <c r="A49" s="2">
        <v>45289</v>
      </c>
      <c r="B49" s="1">
        <v>0.68400000000000005</v>
      </c>
      <c r="C49" s="1">
        <v>62.6</v>
      </c>
      <c r="D49" s="2">
        <v>45261</v>
      </c>
    </row>
    <row r="50" spans="1:4" x14ac:dyDescent="0.25">
      <c r="A50" s="2">
        <v>45322</v>
      </c>
      <c r="B50" s="1">
        <v>0.65739999999999998</v>
      </c>
      <c r="C50" s="1">
        <v>61.4</v>
      </c>
      <c r="D50" s="2">
        <v>45292</v>
      </c>
    </row>
    <row r="51" spans="1:4" x14ac:dyDescent="0.25">
      <c r="A51" s="2">
        <v>45351</v>
      </c>
      <c r="B51" s="1">
        <v>0.65190000000000003</v>
      </c>
      <c r="C51" s="1">
        <v>61.1</v>
      </c>
      <c r="D51" s="2">
        <v>45323</v>
      </c>
    </row>
    <row r="52" spans="1:4" x14ac:dyDescent="0.25">
      <c r="A52" s="2">
        <v>45379</v>
      </c>
      <c r="B52" s="1">
        <v>0.6532</v>
      </c>
      <c r="C52" s="1">
        <v>61.5</v>
      </c>
      <c r="D52" s="2">
        <v>45352</v>
      </c>
    </row>
    <row r="53" spans="1:4" x14ac:dyDescent="0.25">
      <c r="A53" s="2">
        <v>45412</v>
      </c>
      <c r="B53" s="1">
        <v>0.65249999999999997</v>
      </c>
      <c r="C53" s="1">
        <v>62.2</v>
      </c>
      <c r="D53" s="2">
        <v>45383</v>
      </c>
    </row>
    <row r="54" spans="1:4" x14ac:dyDescent="0.25">
      <c r="A54" s="2">
        <v>45443</v>
      </c>
      <c r="B54" s="1">
        <v>0.66369999999999996</v>
      </c>
      <c r="C54" s="1">
        <v>63.1</v>
      </c>
      <c r="D54" s="2">
        <v>45413</v>
      </c>
    </row>
    <row r="55" spans="1:4" x14ac:dyDescent="0.25">
      <c r="A55" s="2">
        <v>45471</v>
      </c>
      <c r="B55" s="1">
        <v>0.66239999999999999</v>
      </c>
      <c r="C55" s="1">
        <v>63.3</v>
      </c>
      <c r="D55" s="2">
        <v>45444</v>
      </c>
    </row>
    <row r="56" spans="1:4" x14ac:dyDescent="0.25">
      <c r="A56" s="2">
        <v>45504</v>
      </c>
      <c r="B56" s="1">
        <v>0.64910000000000001</v>
      </c>
      <c r="C56" s="1">
        <v>61.4</v>
      </c>
      <c r="D56" s="2">
        <v>45474</v>
      </c>
    </row>
    <row r="57" spans="1:4" x14ac:dyDescent="0.25">
      <c r="A57" s="2">
        <v>45534</v>
      </c>
      <c r="B57" s="1">
        <v>0.68059999999999998</v>
      </c>
      <c r="C57" s="1">
        <v>62.6</v>
      </c>
      <c r="D57" s="2">
        <v>45505</v>
      </c>
    </row>
    <row r="58" spans="1:4" x14ac:dyDescent="0.25">
      <c r="A58" s="2">
        <v>45565</v>
      </c>
      <c r="B58" s="1">
        <v>0.69320000000000004</v>
      </c>
      <c r="C58" s="1">
        <v>62.8</v>
      </c>
      <c r="D58" s="2">
        <v>45536</v>
      </c>
    </row>
    <row r="59" spans="1:4" x14ac:dyDescent="0.25">
      <c r="A59" s="2">
        <v>45596</v>
      </c>
      <c r="B59" s="1">
        <v>0.65690000000000004</v>
      </c>
      <c r="C59" s="1">
        <v>61.5</v>
      </c>
      <c r="D59" s="2">
        <v>45566</v>
      </c>
    </row>
    <row r="60" spans="1:4" x14ac:dyDescent="0.25">
      <c r="A60" s="2">
        <v>45625</v>
      </c>
      <c r="B60" s="1">
        <v>0.65169999999999995</v>
      </c>
      <c r="C60" s="1">
        <v>61.5</v>
      </c>
      <c r="D60" s="2">
        <v>45597</v>
      </c>
    </row>
    <row r="61" spans="1:4" x14ac:dyDescent="0.25">
      <c r="A61" s="2">
        <v>45657</v>
      </c>
      <c r="B61" s="1">
        <v>0.62170000000000003</v>
      </c>
      <c r="C61" s="1">
        <v>59.7</v>
      </c>
      <c r="D61" s="2">
        <v>45627</v>
      </c>
    </row>
    <row r="62" spans="1:4" x14ac:dyDescent="0.25">
      <c r="A62" s="2">
        <v>45688</v>
      </c>
      <c r="B62" s="1">
        <v>0.62250000000000005</v>
      </c>
      <c r="C62" s="1">
        <v>59.6</v>
      </c>
      <c r="D62" s="2">
        <v>45658</v>
      </c>
    </row>
    <row r="63" spans="1:4" x14ac:dyDescent="0.25">
      <c r="A63" s="2">
        <v>45716</v>
      </c>
      <c r="B63" s="1">
        <v>0.62139999999999995</v>
      </c>
      <c r="C63" s="1">
        <v>59.5</v>
      </c>
      <c r="D63" s="2">
        <v>45689</v>
      </c>
    </row>
    <row r="64" spans="1:4" x14ac:dyDescent="0.25">
      <c r="A64" s="2">
        <v>45747</v>
      </c>
      <c r="B64" s="1">
        <v>0.628</v>
      </c>
      <c r="C64" s="1">
        <v>59.6</v>
      </c>
      <c r="D64" s="2">
        <v>45717</v>
      </c>
    </row>
    <row r="65" spans="1:4" x14ac:dyDescent="0.25">
      <c r="A65" s="2">
        <v>45777</v>
      </c>
      <c r="B65" s="1">
        <v>0.64159999999999995</v>
      </c>
      <c r="C65" s="1">
        <v>59.9</v>
      </c>
      <c r="D65" s="2">
        <v>45748</v>
      </c>
    </row>
    <row r="66" spans="1:4" x14ac:dyDescent="0.25">
      <c r="A66" s="2">
        <v>45807</v>
      </c>
      <c r="B66" s="1">
        <v>0.64359999999999995</v>
      </c>
      <c r="C66" s="1">
        <v>59.6</v>
      </c>
      <c r="D66" s="2">
        <v>45778</v>
      </c>
    </row>
    <row r="67" spans="1:4" x14ac:dyDescent="0.25">
      <c r="A67" s="2">
        <v>45838</v>
      </c>
      <c r="B67">
        <v>0.65500000000000003</v>
      </c>
      <c r="C67">
        <v>60.1</v>
      </c>
      <c r="D67" s="2">
        <v>45809</v>
      </c>
    </row>
    <row r="68" spans="1:4" x14ac:dyDescent="0.25">
      <c r="A68" s="2">
        <v>45869</v>
      </c>
      <c r="B68">
        <v>0.64690000000000003</v>
      </c>
      <c r="C68">
        <v>60.3</v>
      </c>
      <c r="D68" s="2">
        <v>45839</v>
      </c>
    </row>
    <row r="69" spans="1:4" x14ac:dyDescent="0.25">
      <c r="A69" s="2">
        <v>45898</v>
      </c>
      <c r="B69">
        <v>0.65380000000000005</v>
      </c>
      <c r="C69">
        <v>60.5</v>
      </c>
      <c r="D69" s="2">
        <v>45870</v>
      </c>
    </row>
    <row r="70" spans="1:4" x14ac:dyDescent="0.25">
      <c r="A70" s="2">
        <v>45930</v>
      </c>
      <c r="B70">
        <v>0.66020000000000001</v>
      </c>
      <c r="C70">
        <v>61.3</v>
      </c>
      <c r="D70" s="2">
        <v>45901</v>
      </c>
    </row>
    <row r="71" spans="1:4" x14ac:dyDescent="0.25">
      <c r="A71" s="2">
        <v>45961</v>
      </c>
      <c r="B71">
        <v>0.65510000000000002</v>
      </c>
      <c r="C71">
        <v>61.2</v>
      </c>
      <c r="D71" s="2">
        <v>45931</v>
      </c>
    </row>
    <row r="72" spans="1:4" x14ac:dyDescent="0.25">
      <c r="A72" s="2">
        <v>45989</v>
      </c>
      <c r="B72">
        <v>0.65329999999999999</v>
      </c>
      <c r="C72">
        <v>61.2</v>
      </c>
      <c r="D72" s="2">
        <v>45962</v>
      </c>
    </row>
    <row r="73" spans="1:4" x14ac:dyDescent="0.25">
      <c r="A73" s="2">
        <v>46022</v>
      </c>
      <c r="B73">
        <v>0.66930000000000001</v>
      </c>
      <c r="C73">
        <v>62.2</v>
      </c>
      <c r="D73" s="2">
        <v>45992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C1F1-3958-4BD4-8780-0735298BA56D}">
  <dimension ref="A1:B73"/>
  <sheetViews>
    <sheetView workbookViewId="0">
      <selection sqref="A1:B73"/>
    </sheetView>
  </sheetViews>
  <sheetFormatPr defaultRowHeight="15" x14ac:dyDescent="0.25"/>
  <cols>
    <col min="1" max="1" width="10.7109375" bestFit="1" customWidth="1"/>
    <col min="2" max="2" width="13.28515625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2">
        <v>43861</v>
      </c>
      <c r="B2" s="1">
        <v>0.75</v>
      </c>
    </row>
    <row r="3" spans="1:2" x14ac:dyDescent="0.25">
      <c r="A3" s="2">
        <v>43890</v>
      </c>
      <c r="B3" s="1">
        <v>0.75</v>
      </c>
    </row>
    <row r="4" spans="1:2" x14ac:dyDescent="0.25">
      <c r="A4" s="2">
        <v>43921</v>
      </c>
      <c r="B4" s="1">
        <v>0.43</v>
      </c>
    </row>
    <row r="5" spans="1:2" x14ac:dyDescent="0.25">
      <c r="A5" s="2">
        <v>43951</v>
      </c>
      <c r="B5" s="1">
        <v>0.25</v>
      </c>
    </row>
    <row r="6" spans="1:2" x14ac:dyDescent="0.25">
      <c r="A6" s="2">
        <v>43982</v>
      </c>
      <c r="B6" s="1">
        <v>0.25</v>
      </c>
    </row>
    <row r="7" spans="1:2" x14ac:dyDescent="0.25">
      <c r="A7" s="2">
        <v>44012</v>
      </c>
      <c r="B7" s="1">
        <v>0.25</v>
      </c>
    </row>
    <row r="8" spans="1:2" x14ac:dyDescent="0.25">
      <c r="A8" s="2">
        <v>44043</v>
      </c>
      <c r="B8" s="1">
        <v>0.25</v>
      </c>
    </row>
    <row r="9" spans="1:2" x14ac:dyDescent="0.25">
      <c r="A9" s="2">
        <v>44074</v>
      </c>
      <c r="B9" s="1">
        <v>0.25</v>
      </c>
    </row>
    <row r="10" spans="1:2" x14ac:dyDescent="0.25">
      <c r="A10" s="2">
        <v>44104</v>
      </c>
      <c r="B10" s="1">
        <v>0.25</v>
      </c>
    </row>
    <row r="11" spans="1:2" x14ac:dyDescent="0.25">
      <c r="A11" s="2">
        <v>44135</v>
      </c>
      <c r="B11" s="1">
        <v>0.25</v>
      </c>
    </row>
    <row r="12" spans="1:2" x14ac:dyDescent="0.25">
      <c r="A12" s="2">
        <v>44165</v>
      </c>
      <c r="B12" s="1">
        <v>0.11</v>
      </c>
    </row>
    <row r="13" spans="1:2" x14ac:dyDescent="0.25">
      <c r="A13" s="2">
        <v>44196</v>
      </c>
      <c r="B13" s="1">
        <v>0.1</v>
      </c>
    </row>
    <row r="14" spans="1:2" x14ac:dyDescent="0.25">
      <c r="A14" s="2">
        <v>44227</v>
      </c>
      <c r="B14" s="1">
        <v>0.1</v>
      </c>
    </row>
    <row r="15" spans="1:2" x14ac:dyDescent="0.25">
      <c r="A15" s="2">
        <v>44255</v>
      </c>
      <c r="B15" s="1">
        <v>0.1</v>
      </c>
    </row>
    <row r="16" spans="1:2" x14ac:dyDescent="0.25">
      <c r="A16" s="2">
        <v>44286</v>
      </c>
      <c r="B16" s="1">
        <v>0.1</v>
      </c>
    </row>
    <row r="17" spans="1:2" x14ac:dyDescent="0.25">
      <c r="A17" s="2">
        <v>44316</v>
      </c>
      <c r="B17" s="1">
        <v>0.1</v>
      </c>
    </row>
    <row r="18" spans="1:2" x14ac:dyDescent="0.25">
      <c r="A18" s="2">
        <v>44347</v>
      </c>
      <c r="B18" s="1">
        <v>0.1</v>
      </c>
    </row>
    <row r="19" spans="1:2" x14ac:dyDescent="0.25">
      <c r="A19" s="2">
        <v>44377</v>
      </c>
      <c r="B19" s="1">
        <v>0.1</v>
      </c>
    </row>
    <row r="20" spans="1:2" x14ac:dyDescent="0.25">
      <c r="A20" s="2">
        <v>44408</v>
      </c>
      <c r="B20" s="1">
        <v>0.1</v>
      </c>
    </row>
    <row r="21" spans="1:2" x14ac:dyDescent="0.25">
      <c r="A21" s="2">
        <v>44439</v>
      </c>
      <c r="B21" s="1">
        <v>0.1</v>
      </c>
    </row>
    <row r="22" spans="1:2" x14ac:dyDescent="0.25">
      <c r="A22" s="2">
        <v>44469</v>
      </c>
      <c r="B22" s="1">
        <v>0.1</v>
      </c>
    </row>
    <row r="23" spans="1:2" x14ac:dyDescent="0.25">
      <c r="A23" s="2">
        <v>44500</v>
      </c>
      <c r="B23" s="1">
        <v>0.1</v>
      </c>
    </row>
    <row r="24" spans="1:2" x14ac:dyDescent="0.25">
      <c r="A24" s="2">
        <v>44530</v>
      </c>
      <c r="B24" s="1">
        <v>0.1</v>
      </c>
    </row>
    <row r="25" spans="1:2" x14ac:dyDescent="0.25">
      <c r="A25" s="2">
        <v>44561</v>
      </c>
      <c r="B25" s="1">
        <v>0.1</v>
      </c>
    </row>
    <row r="26" spans="1:2" x14ac:dyDescent="0.25">
      <c r="A26" s="2">
        <v>44592</v>
      </c>
      <c r="B26" s="1">
        <v>0.1</v>
      </c>
    </row>
    <row r="27" spans="1:2" x14ac:dyDescent="0.25">
      <c r="A27" s="2">
        <v>44620</v>
      </c>
      <c r="B27" s="1">
        <v>0.1</v>
      </c>
    </row>
    <row r="28" spans="1:2" x14ac:dyDescent="0.25">
      <c r="A28" s="2">
        <v>44651</v>
      </c>
      <c r="B28" s="1">
        <v>0.1</v>
      </c>
    </row>
    <row r="29" spans="1:2" x14ac:dyDescent="0.25">
      <c r="A29" s="2">
        <v>44681</v>
      </c>
      <c r="B29" s="1">
        <v>0.1</v>
      </c>
    </row>
    <row r="30" spans="1:2" x14ac:dyDescent="0.25">
      <c r="A30" s="2">
        <v>44712</v>
      </c>
      <c r="B30" s="1">
        <v>0.33</v>
      </c>
    </row>
    <row r="31" spans="1:2" x14ac:dyDescent="0.25">
      <c r="A31" s="2">
        <v>44742</v>
      </c>
      <c r="B31" s="1">
        <v>0.73</v>
      </c>
    </row>
    <row r="32" spans="1:2" x14ac:dyDescent="0.25">
      <c r="A32" s="2">
        <v>44773</v>
      </c>
      <c r="B32" s="1">
        <v>1.28</v>
      </c>
    </row>
    <row r="33" spans="1:2" x14ac:dyDescent="0.25">
      <c r="A33" s="2">
        <v>44804</v>
      </c>
      <c r="B33" s="1">
        <v>1.81</v>
      </c>
    </row>
    <row r="34" spans="1:2" x14ac:dyDescent="0.25">
      <c r="A34" s="2">
        <v>44834</v>
      </c>
      <c r="B34" s="1">
        <v>2.25</v>
      </c>
    </row>
    <row r="35" spans="1:2" x14ac:dyDescent="0.25">
      <c r="A35" s="2">
        <v>44865</v>
      </c>
      <c r="B35" s="1">
        <v>2.58</v>
      </c>
    </row>
    <row r="36" spans="1:2" x14ac:dyDescent="0.25">
      <c r="A36" s="2">
        <v>44895</v>
      </c>
      <c r="B36" s="1">
        <v>2.84</v>
      </c>
    </row>
    <row r="37" spans="1:2" x14ac:dyDescent="0.25">
      <c r="A37" s="2">
        <v>44926</v>
      </c>
      <c r="B37" s="1">
        <v>3.05</v>
      </c>
    </row>
    <row r="38" spans="1:2" x14ac:dyDescent="0.25">
      <c r="A38" s="2">
        <v>44957</v>
      </c>
      <c r="B38" s="1">
        <v>3.1</v>
      </c>
    </row>
    <row r="39" spans="1:2" x14ac:dyDescent="0.25">
      <c r="A39" s="2">
        <v>44985</v>
      </c>
      <c r="B39" s="1">
        <v>3.29</v>
      </c>
    </row>
    <row r="40" spans="1:2" x14ac:dyDescent="0.25">
      <c r="A40" s="2">
        <v>45016</v>
      </c>
      <c r="B40" s="1">
        <v>3.54</v>
      </c>
    </row>
    <row r="41" spans="1:2" x14ac:dyDescent="0.25">
      <c r="A41" s="2">
        <v>45046</v>
      </c>
      <c r="B41" s="1">
        <v>3.6</v>
      </c>
    </row>
    <row r="42" spans="1:2" x14ac:dyDescent="0.25">
      <c r="A42" s="2">
        <v>45077</v>
      </c>
      <c r="B42" s="1">
        <v>3.83</v>
      </c>
    </row>
    <row r="43" spans="1:2" x14ac:dyDescent="0.25">
      <c r="A43" s="2">
        <v>45107</v>
      </c>
      <c r="B43" s="1">
        <v>4.05</v>
      </c>
    </row>
    <row r="44" spans="1:2" x14ac:dyDescent="0.25">
      <c r="A44" s="2">
        <v>45138</v>
      </c>
      <c r="B44" s="1">
        <v>4.0999999999999996</v>
      </c>
    </row>
    <row r="45" spans="1:2" x14ac:dyDescent="0.25">
      <c r="A45" s="2">
        <v>45169</v>
      </c>
      <c r="B45" s="1">
        <v>4.0999999999999996</v>
      </c>
    </row>
    <row r="46" spans="1:2" x14ac:dyDescent="0.25">
      <c r="A46" s="2">
        <v>45199</v>
      </c>
      <c r="B46" s="1">
        <v>4.0999999999999996</v>
      </c>
    </row>
    <row r="47" spans="1:2" x14ac:dyDescent="0.25">
      <c r="A47" s="2">
        <v>45230</v>
      </c>
      <c r="B47" s="1">
        <v>4.0999999999999996</v>
      </c>
    </row>
    <row r="48" spans="1:2" x14ac:dyDescent="0.25">
      <c r="A48" s="2">
        <v>45260</v>
      </c>
      <c r="B48" s="1">
        <v>4.29</v>
      </c>
    </row>
    <row r="49" spans="1:2" x14ac:dyDescent="0.25">
      <c r="A49" s="2">
        <v>45291</v>
      </c>
      <c r="B49" s="1">
        <v>4.3499999999999996</v>
      </c>
    </row>
    <row r="50" spans="1:2" x14ac:dyDescent="0.25">
      <c r="A50" s="2">
        <v>45322</v>
      </c>
      <c r="B50" s="1">
        <v>4.3499999999999996</v>
      </c>
    </row>
    <row r="51" spans="1:2" x14ac:dyDescent="0.25">
      <c r="A51" s="2">
        <v>45351</v>
      </c>
      <c r="B51" s="1">
        <v>4.3499999999999996</v>
      </c>
    </row>
    <row r="52" spans="1:2" x14ac:dyDescent="0.25">
      <c r="A52" s="2">
        <v>45382</v>
      </c>
      <c r="B52" s="1">
        <v>4.3499999999999996</v>
      </c>
    </row>
    <row r="53" spans="1:2" x14ac:dyDescent="0.25">
      <c r="A53" s="2">
        <v>45412</v>
      </c>
      <c r="B53" s="1">
        <v>4.3499999999999996</v>
      </c>
    </row>
    <row r="54" spans="1:2" x14ac:dyDescent="0.25">
      <c r="A54" s="2">
        <v>45443</v>
      </c>
      <c r="B54" s="1">
        <v>4.3499999999999996</v>
      </c>
    </row>
    <row r="55" spans="1:2" x14ac:dyDescent="0.25">
      <c r="A55" s="2">
        <v>45473</v>
      </c>
      <c r="B55" s="1">
        <v>4.3499999999999996</v>
      </c>
    </row>
    <row r="56" spans="1:2" x14ac:dyDescent="0.25">
      <c r="A56" s="2">
        <v>45504</v>
      </c>
      <c r="B56" s="1">
        <v>4.3499999999999996</v>
      </c>
    </row>
    <row r="57" spans="1:2" x14ac:dyDescent="0.25">
      <c r="A57" s="2">
        <v>45535</v>
      </c>
      <c r="B57" s="1">
        <v>4.3499999999999996</v>
      </c>
    </row>
    <row r="58" spans="1:2" x14ac:dyDescent="0.25">
      <c r="A58" s="2">
        <v>45565</v>
      </c>
      <c r="B58" s="1">
        <v>4.3499999999999996</v>
      </c>
    </row>
    <row r="59" spans="1:2" x14ac:dyDescent="0.25">
      <c r="A59" s="2">
        <v>45596</v>
      </c>
      <c r="B59" s="1">
        <v>4.3499999999999996</v>
      </c>
    </row>
    <row r="60" spans="1:2" x14ac:dyDescent="0.25">
      <c r="A60" s="2">
        <v>45626</v>
      </c>
      <c r="B60" s="1">
        <v>4.3499999999999996</v>
      </c>
    </row>
    <row r="61" spans="1:2" x14ac:dyDescent="0.25">
      <c r="A61" s="2">
        <v>45657</v>
      </c>
      <c r="B61" s="1">
        <v>4.3499999999999996</v>
      </c>
    </row>
    <row r="62" spans="1:2" x14ac:dyDescent="0.25">
      <c r="A62" s="2">
        <v>45688</v>
      </c>
      <c r="B62" s="1">
        <v>4.3499999999999996</v>
      </c>
    </row>
    <row r="63" spans="1:2" x14ac:dyDescent="0.25">
      <c r="A63" s="2">
        <v>45716</v>
      </c>
      <c r="B63" s="1">
        <v>4.25</v>
      </c>
    </row>
    <row r="64" spans="1:2" x14ac:dyDescent="0.25">
      <c r="A64" s="2">
        <v>45747</v>
      </c>
      <c r="B64" s="1">
        <v>4.0999999999999996</v>
      </c>
    </row>
    <row r="65" spans="1:2" x14ac:dyDescent="0.25">
      <c r="A65" s="2">
        <v>45777</v>
      </c>
      <c r="B65" s="1">
        <v>4.0999999999999996</v>
      </c>
    </row>
    <row r="66" spans="1:2" x14ac:dyDescent="0.25">
      <c r="A66" s="2">
        <v>45808</v>
      </c>
      <c r="B66" s="1">
        <v>4.01</v>
      </c>
    </row>
    <row r="67" spans="1:2" x14ac:dyDescent="0.25">
      <c r="A67" s="2">
        <v>45838</v>
      </c>
      <c r="B67" s="1">
        <v>3.85</v>
      </c>
    </row>
    <row r="68" spans="1:2" x14ac:dyDescent="0.25">
      <c r="A68" s="2">
        <v>45869</v>
      </c>
      <c r="B68" s="1">
        <v>3.85</v>
      </c>
    </row>
    <row r="69" spans="1:2" x14ac:dyDescent="0.25">
      <c r="A69" s="2">
        <v>45900</v>
      </c>
      <c r="B69" s="1">
        <v>3.7</v>
      </c>
    </row>
    <row r="70" spans="1:2" x14ac:dyDescent="0.25">
      <c r="A70" s="2">
        <v>45930</v>
      </c>
      <c r="B70" s="1">
        <v>3.6</v>
      </c>
    </row>
    <row r="71" spans="1:2" x14ac:dyDescent="0.25">
      <c r="A71" s="2">
        <v>45961</v>
      </c>
      <c r="B71" s="1">
        <v>3.6</v>
      </c>
    </row>
    <row r="72" spans="1:2" x14ac:dyDescent="0.25">
      <c r="A72" s="2">
        <v>45991</v>
      </c>
      <c r="B72" s="1">
        <v>3.6</v>
      </c>
    </row>
    <row r="73" spans="1:2" x14ac:dyDescent="0.25">
      <c r="A73" s="2">
        <v>46022</v>
      </c>
      <c r="B73" s="1">
        <v>3.6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31A7-29BC-4117-B15C-A47576EBEB8B}">
  <dimension ref="A1:D73"/>
  <sheetViews>
    <sheetView workbookViewId="0">
      <selection activeCell="N21" sqref="N21"/>
    </sheetView>
  </sheetViews>
  <sheetFormatPr defaultRowHeight="15" x14ac:dyDescent="0.25"/>
  <cols>
    <col min="1" max="1" width="10.7109375" bestFit="1" customWidth="1"/>
    <col min="2" max="2" width="22.5703125" bestFit="1" customWidth="1"/>
    <col min="3" max="3" width="25.7109375" bestFit="1" customWidth="1"/>
    <col min="4" max="4" width="23" bestFit="1" customWidth="1"/>
  </cols>
  <sheetData>
    <row r="1" spans="1:4" x14ac:dyDescent="0.2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5">
      <c r="A2" s="2">
        <v>43861</v>
      </c>
      <c r="B2" s="1">
        <v>5.23</v>
      </c>
      <c r="C2" s="1">
        <v>4.67</v>
      </c>
      <c r="D2" s="1">
        <v>5.37</v>
      </c>
    </row>
    <row r="3" spans="1:4" x14ac:dyDescent="0.25">
      <c r="A3" s="2">
        <v>43890</v>
      </c>
      <c r="B3" s="1">
        <v>5.21</v>
      </c>
      <c r="C3" s="1">
        <v>4.6500000000000004</v>
      </c>
      <c r="D3" s="1">
        <v>5.33</v>
      </c>
    </row>
    <row r="4" spans="1:4" x14ac:dyDescent="0.25">
      <c r="A4" s="2">
        <v>43921</v>
      </c>
      <c r="B4" s="1">
        <v>5.01</v>
      </c>
      <c r="C4" s="1">
        <v>4.3899999999999997</v>
      </c>
      <c r="D4" s="1">
        <v>5.28</v>
      </c>
    </row>
    <row r="5" spans="1:4" x14ac:dyDescent="0.25">
      <c r="A5" s="2">
        <v>43951</v>
      </c>
      <c r="B5" s="1">
        <v>4.82</v>
      </c>
      <c r="C5" s="1">
        <v>4.22</v>
      </c>
      <c r="D5" s="1">
        <v>5.26</v>
      </c>
    </row>
    <row r="6" spans="1:4" x14ac:dyDescent="0.25">
      <c r="A6" s="2">
        <v>43982</v>
      </c>
      <c r="B6" s="1">
        <v>4.75</v>
      </c>
      <c r="C6" s="1">
        <v>4.24</v>
      </c>
      <c r="D6" s="1">
        <v>5.0999999999999996</v>
      </c>
    </row>
    <row r="7" spans="1:4" x14ac:dyDescent="0.25">
      <c r="A7" s="2">
        <v>44012</v>
      </c>
      <c r="B7" s="1">
        <v>4.7</v>
      </c>
      <c r="C7" s="1">
        <v>4.21</v>
      </c>
      <c r="D7" s="1">
        <v>5</v>
      </c>
    </row>
    <row r="8" spans="1:4" x14ac:dyDescent="0.25">
      <c r="A8" s="2">
        <v>44043</v>
      </c>
      <c r="B8" s="1">
        <v>4.67</v>
      </c>
      <c r="C8" s="1">
        <v>4.18</v>
      </c>
      <c r="D8" s="1">
        <v>5.05</v>
      </c>
    </row>
    <row r="9" spans="1:4" x14ac:dyDescent="0.25">
      <c r="A9" s="2">
        <v>44074</v>
      </c>
      <c r="B9" s="1">
        <v>4.6399999999999997</v>
      </c>
      <c r="C9" s="1">
        <v>4.1500000000000004</v>
      </c>
      <c r="D9" s="1">
        <v>4.99</v>
      </c>
    </row>
    <row r="10" spans="1:4" x14ac:dyDescent="0.25">
      <c r="A10" s="2">
        <v>44104</v>
      </c>
      <c r="B10" s="1">
        <v>4.62</v>
      </c>
      <c r="C10" s="1">
        <v>4.13</v>
      </c>
      <c r="D10" s="1">
        <v>4.95</v>
      </c>
    </row>
    <row r="11" spans="1:4" x14ac:dyDescent="0.25">
      <c r="A11" s="2">
        <v>44135</v>
      </c>
      <c r="B11" s="1">
        <v>4.57</v>
      </c>
      <c r="C11" s="1">
        <v>4.1100000000000003</v>
      </c>
      <c r="D11" s="1">
        <v>4.83</v>
      </c>
    </row>
    <row r="12" spans="1:4" x14ac:dyDescent="0.25">
      <c r="A12" s="2">
        <v>44165</v>
      </c>
      <c r="B12" s="1">
        <v>4.58</v>
      </c>
      <c r="C12" s="1">
        <v>4.08</v>
      </c>
      <c r="D12" s="1">
        <v>4.84</v>
      </c>
    </row>
    <row r="13" spans="1:4" x14ac:dyDescent="0.25">
      <c r="A13" s="2">
        <v>44196</v>
      </c>
      <c r="B13" s="1">
        <v>4.53</v>
      </c>
      <c r="C13" s="1">
        <v>4.05</v>
      </c>
      <c r="D13" s="1">
        <v>4.76</v>
      </c>
    </row>
    <row r="14" spans="1:4" x14ac:dyDescent="0.25">
      <c r="A14" s="2">
        <v>44227</v>
      </c>
      <c r="B14" s="1">
        <v>4.5199999999999996</v>
      </c>
      <c r="C14" s="1">
        <v>4.03</v>
      </c>
      <c r="D14" s="1">
        <v>4.7300000000000004</v>
      </c>
    </row>
    <row r="15" spans="1:4" x14ac:dyDescent="0.25">
      <c r="A15" s="2">
        <v>44255</v>
      </c>
      <c r="B15" s="1">
        <v>4.46</v>
      </c>
      <c r="C15" s="1">
        <v>4.01</v>
      </c>
      <c r="D15" s="1">
        <v>4.6100000000000003</v>
      </c>
    </row>
    <row r="16" spans="1:4" x14ac:dyDescent="0.25">
      <c r="A16" s="2">
        <v>44286</v>
      </c>
      <c r="B16" s="1">
        <v>4.42</v>
      </c>
      <c r="C16" s="1">
        <v>3.98</v>
      </c>
      <c r="D16" s="1">
        <v>4.53</v>
      </c>
    </row>
    <row r="17" spans="1:4" x14ac:dyDescent="0.25">
      <c r="A17" s="2">
        <v>44316</v>
      </c>
      <c r="B17" s="1">
        <v>4.3899999999999997</v>
      </c>
      <c r="C17" s="1">
        <v>3.95</v>
      </c>
      <c r="D17" s="1">
        <v>4.46</v>
      </c>
    </row>
    <row r="18" spans="1:4" x14ac:dyDescent="0.25">
      <c r="A18" s="2">
        <v>44347</v>
      </c>
      <c r="B18" s="1">
        <v>4.38</v>
      </c>
      <c r="C18" s="1">
        <v>3.92</v>
      </c>
      <c r="D18" s="1">
        <v>4.46</v>
      </c>
    </row>
    <row r="19" spans="1:4" x14ac:dyDescent="0.25">
      <c r="A19" s="2">
        <v>44377</v>
      </c>
      <c r="B19" s="1">
        <v>4.34</v>
      </c>
      <c r="C19" s="1">
        <v>3.89</v>
      </c>
      <c r="D19" s="1">
        <v>4.38</v>
      </c>
    </row>
    <row r="20" spans="1:4" x14ac:dyDescent="0.25">
      <c r="A20" s="2">
        <v>44408</v>
      </c>
      <c r="B20" s="1">
        <v>4.29</v>
      </c>
      <c r="C20" s="1">
        <v>3.86</v>
      </c>
      <c r="D20" s="1">
        <v>4.28</v>
      </c>
    </row>
    <row r="21" spans="1:4" x14ac:dyDescent="0.25">
      <c r="A21" s="2">
        <v>44439</v>
      </c>
      <c r="B21" s="1">
        <v>4.26</v>
      </c>
      <c r="C21" s="1">
        <v>3.83</v>
      </c>
      <c r="D21" s="1">
        <v>4.2300000000000004</v>
      </c>
    </row>
    <row r="22" spans="1:4" x14ac:dyDescent="0.25">
      <c r="A22" s="2">
        <v>44469</v>
      </c>
      <c r="B22" s="1">
        <v>4.24</v>
      </c>
      <c r="C22" s="1">
        <v>3.81</v>
      </c>
      <c r="D22" s="1">
        <v>4.1900000000000004</v>
      </c>
    </row>
    <row r="23" spans="1:4" x14ac:dyDescent="0.25">
      <c r="A23" s="2">
        <v>44500</v>
      </c>
      <c r="B23" s="1">
        <v>4.2</v>
      </c>
      <c r="C23" s="1">
        <v>3.78</v>
      </c>
      <c r="D23" s="1">
        <v>4.1399999999999997</v>
      </c>
    </row>
    <row r="24" spans="1:4" x14ac:dyDescent="0.25">
      <c r="A24" s="2">
        <v>44530</v>
      </c>
      <c r="B24" s="1">
        <v>4.1900000000000004</v>
      </c>
      <c r="C24" s="1">
        <v>3.75</v>
      </c>
      <c r="D24" s="1">
        <v>4.12</v>
      </c>
    </row>
    <row r="25" spans="1:4" x14ac:dyDescent="0.25">
      <c r="A25" s="2">
        <v>44561</v>
      </c>
      <c r="B25" s="1">
        <v>4.16</v>
      </c>
      <c r="C25" s="1">
        <v>3.72</v>
      </c>
      <c r="D25" s="1">
        <v>4.08</v>
      </c>
    </row>
    <row r="26" spans="1:4" x14ac:dyDescent="0.25">
      <c r="A26" s="2">
        <v>44592</v>
      </c>
      <c r="B26" s="1">
        <v>4.16</v>
      </c>
      <c r="C26" s="1">
        <v>3.73</v>
      </c>
      <c r="D26" s="1">
        <v>4.0599999999999996</v>
      </c>
    </row>
    <row r="27" spans="1:4" x14ac:dyDescent="0.25">
      <c r="A27" s="2">
        <v>44620</v>
      </c>
      <c r="B27" s="1">
        <v>4.1399999999999997</v>
      </c>
      <c r="C27" s="1">
        <v>3.71</v>
      </c>
      <c r="D27" s="1">
        <v>4.01</v>
      </c>
    </row>
    <row r="28" spans="1:4" x14ac:dyDescent="0.25">
      <c r="A28" s="2">
        <v>44651</v>
      </c>
      <c r="B28" s="1">
        <v>4.12</v>
      </c>
      <c r="C28" s="1">
        <v>3.67</v>
      </c>
      <c r="D28" s="1">
        <v>4.01</v>
      </c>
    </row>
    <row r="29" spans="1:4" x14ac:dyDescent="0.25">
      <c r="A29" s="2">
        <v>44681</v>
      </c>
      <c r="B29" s="1">
        <v>4.1100000000000003</v>
      </c>
      <c r="C29" s="1">
        <v>3.66</v>
      </c>
      <c r="D29" s="1">
        <v>4.0199999999999996</v>
      </c>
    </row>
    <row r="30" spans="1:4" x14ac:dyDescent="0.25">
      <c r="A30" s="2">
        <v>44712</v>
      </c>
      <c r="B30" s="1">
        <v>4.24</v>
      </c>
      <c r="C30" s="1">
        <v>3.81</v>
      </c>
      <c r="D30" s="1">
        <v>4.07</v>
      </c>
    </row>
    <row r="31" spans="1:4" x14ac:dyDescent="0.25">
      <c r="A31" s="2">
        <v>44742</v>
      </c>
      <c r="B31" s="1">
        <v>4.5599999999999996</v>
      </c>
      <c r="C31" s="1">
        <v>4.1900000000000004</v>
      </c>
      <c r="D31" s="1">
        <v>4.1500000000000004</v>
      </c>
    </row>
    <row r="32" spans="1:4" x14ac:dyDescent="0.25">
      <c r="A32" s="2">
        <v>44773</v>
      </c>
      <c r="B32" s="1">
        <v>4.9000000000000004</v>
      </c>
      <c r="C32" s="1">
        <v>4.62</v>
      </c>
      <c r="D32" s="1">
        <v>4.21</v>
      </c>
    </row>
    <row r="33" spans="1:4" x14ac:dyDescent="0.25">
      <c r="A33" s="2">
        <v>44804</v>
      </c>
      <c r="B33" s="1">
        <v>5.2</v>
      </c>
      <c r="C33" s="1">
        <v>5.04</v>
      </c>
      <c r="D33" s="1">
        <v>4.22</v>
      </c>
    </row>
    <row r="34" spans="1:4" x14ac:dyDescent="0.25">
      <c r="A34" s="2">
        <v>44834</v>
      </c>
      <c r="B34" s="1">
        <v>5.52</v>
      </c>
      <c r="C34" s="1">
        <v>5.43</v>
      </c>
      <c r="D34" s="1">
        <v>4.29</v>
      </c>
    </row>
    <row r="35" spans="1:4" x14ac:dyDescent="0.25">
      <c r="A35" s="2">
        <v>44865</v>
      </c>
      <c r="B35" s="1">
        <v>5.71</v>
      </c>
      <c r="C35" s="1">
        <v>5.62</v>
      </c>
      <c r="D35" s="1">
        <v>4.37</v>
      </c>
    </row>
    <row r="36" spans="1:4" x14ac:dyDescent="0.25">
      <c r="A36" s="2">
        <v>44895</v>
      </c>
      <c r="B36" s="1">
        <v>5.84</v>
      </c>
      <c r="C36" s="1">
        <v>5.8</v>
      </c>
      <c r="D36" s="1">
        <v>4.3499999999999996</v>
      </c>
    </row>
    <row r="37" spans="1:4" x14ac:dyDescent="0.25">
      <c r="A37" s="2">
        <v>44926</v>
      </c>
      <c r="B37" s="1">
        <v>6</v>
      </c>
      <c r="C37" s="1">
        <v>5.94</v>
      </c>
      <c r="D37" s="1">
        <v>4.43</v>
      </c>
    </row>
    <row r="38" spans="1:4" x14ac:dyDescent="0.25">
      <c r="A38" s="2">
        <v>44957</v>
      </c>
      <c r="B38" s="1">
        <v>6.04</v>
      </c>
      <c r="C38" s="1">
        <v>5.97</v>
      </c>
      <c r="D38" s="1">
        <v>4.49</v>
      </c>
    </row>
    <row r="39" spans="1:4" x14ac:dyDescent="0.25">
      <c r="A39" s="2">
        <v>44985</v>
      </c>
      <c r="B39" s="1">
        <v>6.2</v>
      </c>
      <c r="C39" s="1">
        <v>6.14</v>
      </c>
      <c r="D39" s="1">
        <v>4.57</v>
      </c>
    </row>
    <row r="40" spans="1:4" x14ac:dyDescent="0.25">
      <c r="A40" s="2">
        <v>45016</v>
      </c>
      <c r="B40" s="1">
        <v>6.37</v>
      </c>
      <c r="C40" s="1">
        <v>6.32</v>
      </c>
      <c r="D40" s="1">
        <v>4.68</v>
      </c>
    </row>
    <row r="41" spans="1:4" x14ac:dyDescent="0.25">
      <c r="A41" s="2">
        <v>45046</v>
      </c>
      <c r="B41" s="1">
        <v>6.39</v>
      </c>
      <c r="C41" s="1">
        <v>6.32</v>
      </c>
      <c r="D41" s="1">
        <v>4.7300000000000004</v>
      </c>
    </row>
    <row r="42" spans="1:4" x14ac:dyDescent="0.25">
      <c r="A42" s="2">
        <v>45077</v>
      </c>
      <c r="B42" s="1">
        <v>6.57</v>
      </c>
      <c r="C42" s="1">
        <v>6.54</v>
      </c>
      <c r="D42" s="1">
        <v>4.91</v>
      </c>
    </row>
    <row r="43" spans="1:4" x14ac:dyDescent="0.25">
      <c r="A43" s="2">
        <v>45107</v>
      </c>
      <c r="B43" s="1">
        <v>6.8</v>
      </c>
      <c r="C43" s="1">
        <v>6.76</v>
      </c>
      <c r="D43" s="1">
        <v>5.26</v>
      </c>
    </row>
    <row r="44" spans="1:4" x14ac:dyDescent="0.25">
      <c r="A44" s="2">
        <v>45138</v>
      </c>
      <c r="B44" s="1">
        <v>6.83</v>
      </c>
      <c r="C44" s="1">
        <v>6.76</v>
      </c>
      <c r="D44" s="1">
        <v>5.34</v>
      </c>
    </row>
    <row r="45" spans="1:4" x14ac:dyDescent="0.25">
      <c r="A45" s="2">
        <v>45169</v>
      </c>
      <c r="B45" s="1">
        <v>6.86</v>
      </c>
      <c r="C45" s="1">
        <v>6.76</v>
      </c>
      <c r="D45" s="1">
        <v>5.44</v>
      </c>
    </row>
    <row r="46" spans="1:4" x14ac:dyDescent="0.25">
      <c r="A46" s="2">
        <v>45199</v>
      </c>
      <c r="B46" s="1">
        <v>6.89</v>
      </c>
      <c r="C46" s="1">
        <v>6.77</v>
      </c>
      <c r="D46" s="1">
        <v>5.55</v>
      </c>
    </row>
    <row r="47" spans="1:4" x14ac:dyDescent="0.25">
      <c r="A47" s="2">
        <v>45230</v>
      </c>
      <c r="B47" s="1">
        <v>6.92</v>
      </c>
      <c r="C47" s="1">
        <v>6.78</v>
      </c>
      <c r="D47" s="1">
        <v>5.71</v>
      </c>
    </row>
    <row r="48" spans="1:4" x14ac:dyDescent="0.25">
      <c r="A48" s="2">
        <v>45260</v>
      </c>
      <c r="B48" s="1">
        <v>7.09</v>
      </c>
      <c r="C48" s="1">
        <v>7</v>
      </c>
      <c r="D48" s="1">
        <v>5.83</v>
      </c>
    </row>
    <row r="49" spans="1:4" x14ac:dyDescent="0.25">
      <c r="A49" s="2">
        <v>45291</v>
      </c>
      <c r="B49" s="1">
        <v>7.13</v>
      </c>
      <c r="C49" s="1">
        <v>7.02</v>
      </c>
      <c r="D49" s="1">
        <v>5.93</v>
      </c>
    </row>
    <row r="50" spans="1:4" x14ac:dyDescent="0.25">
      <c r="A50" s="2">
        <v>45322</v>
      </c>
      <c r="B50" s="1">
        <v>7.16</v>
      </c>
      <c r="C50" s="1">
        <v>7.03</v>
      </c>
      <c r="D50" s="1">
        <v>6.01</v>
      </c>
    </row>
    <row r="51" spans="1:4" x14ac:dyDescent="0.25">
      <c r="A51" s="2">
        <v>45351</v>
      </c>
      <c r="B51">
        <v>7.19</v>
      </c>
      <c r="C51">
        <v>7.05</v>
      </c>
      <c r="D51">
        <v>6.11</v>
      </c>
    </row>
    <row r="52" spans="1:4" x14ac:dyDescent="0.25">
      <c r="A52" s="2">
        <v>45382</v>
      </c>
      <c r="B52">
        <v>7.22</v>
      </c>
      <c r="C52">
        <v>7.06</v>
      </c>
      <c r="D52">
        <v>6.22</v>
      </c>
    </row>
    <row r="53" spans="1:4" x14ac:dyDescent="0.25">
      <c r="A53" s="2">
        <v>45412</v>
      </c>
      <c r="B53">
        <v>7.28</v>
      </c>
      <c r="C53">
        <v>7.07</v>
      </c>
      <c r="D53">
        <v>6.44</v>
      </c>
    </row>
    <row r="54" spans="1:4" x14ac:dyDescent="0.25">
      <c r="A54" s="2">
        <v>45443</v>
      </c>
      <c r="B54">
        <v>7.32</v>
      </c>
      <c r="C54">
        <v>7.08</v>
      </c>
      <c r="D54">
        <v>6.55</v>
      </c>
    </row>
    <row r="55" spans="1:4" x14ac:dyDescent="0.25">
      <c r="A55" s="2">
        <v>45473</v>
      </c>
      <c r="B55">
        <v>7.33</v>
      </c>
      <c r="C55">
        <v>7.08</v>
      </c>
      <c r="D55">
        <v>6.63</v>
      </c>
    </row>
    <row r="56" spans="1:4" x14ac:dyDescent="0.25">
      <c r="A56" s="2">
        <v>45504</v>
      </c>
      <c r="B56">
        <v>7.39</v>
      </c>
      <c r="C56">
        <v>7.11</v>
      </c>
      <c r="D56">
        <v>6.8</v>
      </c>
    </row>
    <row r="57" spans="1:4" x14ac:dyDescent="0.25">
      <c r="A57" s="2">
        <v>45535</v>
      </c>
      <c r="B57">
        <v>7.41</v>
      </c>
      <c r="C57">
        <v>7.11</v>
      </c>
      <c r="D57">
        <v>6.88</v>
      </c>
    </row>
    <row r="58" spans="1:4" x14ac:dyDescent="0.25">
      <c r="A58" s="2">
        <v>45565</v>
      </c>
      <c r="B58">
        <v>7.42</v>
      </c>
      <c r="C58">
        <v>7.11</v>
      </c>
      <c r="D58">
        <v>6.94</v>
      </c>
    </row>
    <row r="59" spans="1:4" x14ac:dyDescent="0.25">
      <c r="A59" s="2">
        <v>45596</v>
      </c>
      <c r="B59">
        <v>7.41</v>
      </c>
      <c r="C59">
        <v>7.11</v>
      </c>
      <c r="D59">
        <v>6.96</v>
      </c>
    </row>
    <row r="60" spans="1:4" x14ac:dyDescent="0.25">
      <c r="A60" s="2">
        <v>45626</v>
      </c>
      <c r="B60">
        <v>7.42</v>
      </c>
      <c r="C60">
        <v>7.11</v>
      </c>
      <c r="D60">
        <v>7.02</v>
      </c>
    </row>
    <row r="61" spans="1:4" x14ac:dyDescent="0.25">
      <c r="A61" s="2">
        <v>45657</v>
      </c>
      <c r="B61">
        <v>7.43</v>
      </c>
      <c r="C61">
        <v>7.11</v>
      </c>
      <c r="D61">
        <v>7.08</v>
      </c>
    </row>
    <row r="62" spans="1:4" x14ac:dyDescent="0.25">
      <c r="A62" s="2">
        <v>45688</v>
      </c>
      <c r="B62">
        <v>7.44</v>
      </c>
      <c r="C62">
        <v>7.11</v>
      </c>
      <c r="D62">
        <v>7.12</v>
      </c>
    </row>
    <row r="63" spans="1:4" x14ac:dyDescent="0.25">
      <c r="A63" s="2">
        <v>45716</v>
      </c>
      <c r="B63">
        <v>7.33</v>
      </c>
      <c r="C63">
        <v>6.95</v>
      </c>
      <c r="D63">
        <v>7.12</v>
      </c>
    </row>
    <row r="64" spans="1:4" x14ac:dyDescent="0.25">
      <c r="A64" s="2">
        <v>45747</v>
      </c>
      <c r="B64">
        <v>7.24</v>
      </c>
      <c r="C64">
        <v>6.85</v>
      </c>
      <c r="D64">
        <v>7.13</v>
      </c>
    </row>
    <row r="65" spans="1:4" x14ac:dyDescent="0.25">
      <c r="A65" s="2">
        <v>45777</v>
      </c>
      <c r="B65">
        <v>7.25</v>
      </c>
      <c r="C65">
        <v>6.84</v>
      </c>
      <c r="D65">
        <v>7.2</v>
      </c>
    </row>
    <row r="66" spans="1:4" x14ac:dyDescent="0.25">
      <c r="A66" s="2">
        <v>45808</v>
      </c>
      <c r="B66">
        <v>7.16</v>
      </c>
      <c r="C66">
        <v>6.69</v>
      </c>
      <c r="D66">
        <v>7.23</v>
      </c>
    </row>
    <row r="67" spans="1:4" x14ac:dyDescent="0.25">
      <c r="A67" s="2">
        <v>45838</v>
      </c>
      <c r="B67">
        <v>7.06</v>
      </c>
      <c r="C67">
        <v>6.58</v>
      </c>
      <c r="D67">
        <v>7.24</v>
      </c>
    </row>
    <row r="68" spans="1:4" x14ac:dyDescent="0.25">
      <c r="A68" s="2">
        <v>45869</v>
      </c>
      <c r="B68">
        <v>7.04</v>
      </c>
      <c r="C68">
        <v>6.56</v>
      </c>
      <c r="D68">
        <v>7.25</v>
      </c>
    </row>
    <row r="69" spans="1:4" x14ac:dyDescent="0.25">
      <c r="A69" s="2">
        <v>45900</v>
      </c>
      <c r="B69">
        <v>6.9</v>
      </c>
      <c r="C69">
        <v>6.33</v>
      </c>
      <c r="D69">
        <v>7.28</v>
      </c>
    </row>
    <row r="70" spans="1:4" x14ac:dyDescent="0.25">
      <c r="A70" s="2">
        <v>45930</v>
      </c>
      <c r="B70">
        <v>6.87</v>
      </c>
      <c r="C70">
        <v>6.3</v>
      </c>
      <c r="D70">
        <v>7.25</v>
      </c>
    </row>
    <row r="71" spans="1:4" x14ac:dyDescent="0.25">
      <c r="A71" s="2">
        <v>45961</v>
      </c>
      <c r="B71">
        <v>6.85</v>
      </c>
      <c r="C71">
        <v>6.29</v>
      </c>
      <c r="D71">
        <v>7.23</v>
      </c>
    </row>
    <row r="72" spans="1:4" x14ac:dyDescent="0.25">
      <c r="A72" s="2">
        <v>45991</v>
      </c>
      <c r="B72">
        <v>6.84</v>
      </c>
      <c r="C72">
        <v>6.28</v>
      </c>
      <c r="D72">
        <v>7.23</v>
      </c>
    </row>
    <row r="73" spans="1:4" x14ac:dyDescent="0.25">
      <c r="A73" s="2">
        <v>46022</v>
      </c>
      <c r="B73">
        <v>6.85</v>
      </c>
      <c r="C73">
        <v>6.27</v>
      </c>
      <c r="D73">
        <v>7.27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378A-DD25-4752-9F88-9AD11FAA3E66}">
  <dimension ref="A1:I73"/>
  <sheetViews>
    <sheetView topLeftCell="B1" workbookViewId="0">
      <selection activeCell="G19" sqref="G19"/>
    </sheetView>
  </sheetViews>
  <sheetFormatPr defaultRowHeight="15" x14ac:dyDescent="0.25"/>
  <cols>
    <col min="1" max="1" width="10.7109375" bestFit="1" customWidth="1"/>
    <col min="2" max="2" width="13.28515625" bestFit="1" customWidth="1"/>
    <col min="3" max="3" width="10.7109375" bestFit="1" customWidth="1"/>
    <col min="4" max="4" width="11.85546875" bestFit="1" customWidth="1"/>
    <col min="5" max="5" width="23.140625" bestFit="1" customWidth="1"/>
    <col min="6" max="6" width="22.5703125" bestFit="1" customWidth="1"/>
    <col min="7" max="7" width="25.7109375" bestFit="1" customWidth="1"/>
    <col min="8" max="8" width="23" bestFit="1" customWidth="1"/>
    <col min="9" max="9" width="9.42578125" bestFit="1" customWidth="1"/>
  </cols>
  <sheetData>
    <row r="1" spans="1:9" x14ac:dyDescent="0.25">
      <c r="A1" s="1" t="s">
        <v>0</v>
      </c>
      <c r="B1" s="1" t="s">
        <v>3</v>
      </c>
      <c r="C1" s="1" t="s">
        <v>7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6</v>
      </c>
      <c r="I1" t="s">
        <v>8</v>
      </c>
    </row>
    <row r="2" spans="1:9" x14ac:dyDescent="0.25">
      <c r="A2" s="2">
        <v>43861</v>
      </c>
      <c r="B2" s="1">
        <v>0.75</v>
      </c>
      <c r="C2" s="2">
        <v>43831</v>
      </c>
      <c r="D2" s="1">
        <v>0.6724</v>
      </c>
      <c r="E2" s="1">
        <v>58.1</v>
      </c>
      <c r="F2" s="1">
        <v>5.23</v>
      </c>
      <c r="G2" s="1">
        <v>4.67</v>
      </c>
      <c r="H2" s="1">
        <v>5.37</v>
      </c>
      <c r="I2" s="3">
        <f t="shared" ref="I2:I33" si="0">IFERROR(F2-B2,"")</f>
        <v>4.4800000000000004</v>
      </c>
    </row>
    <row r="3" spans="1:9" x14ac:dyDescent="0.25">
      <c r="A3" s="2">
        <v>43890</v>
      </c>
      <c r="B3" s="1">
        <v>0.75</v>
      </c>
      <c r="C3" s="2">
        <v>43862</v>
      </c>
      <c r="D3" s="1">
        <v>0.65239999999999998</v>
      </c>
      <c r="E3" s="1">
        <v>57</v>
      </c>
      <c r="F3" s="1">
        <v>5.21</v>
      </c>
      <c r="G3" s="1">
        <v>4.6500000000000004</v>
      </c>
      <c r="H3" s="1">
        <v>5.33</v>
      </c>
      <c r="I3" s="3">
        <f t="shared" si="0"/>
        <v>4.46</v>
      </c>
    </row>
    <row r="4" spans="1:9" x14ac:dyDescent="0.25">
      <c r="A4" s="2">
        <v>43921</v>
      </c>
      <c r="B4" s="1">
        <v>0.43</v>
      </c>
      <c r="C4" s="2">
        <v>43891</v>
      </c>
      <c r="D4" s="1">
        <v>0.61750000000000005</v>
      </c>
      <c r="E4" s="1">
        <v>54.7</v>
      </c>
      <c r="F4" s="1">
        <v>5.01</v>
      </c>
      <c r="G4" s="1">
        <v>4.3899999999999997</v>
      </c>
      <c r="H4" s="1">
        <v>5.28</v>
      </c>
      <c r="I4" s="3">
        <f t="shared" si="0"/>
        <v>4.58</v>
      </c>
    </row>
    <row r="5" spans="1:9" x14ac:dyDescent="0.25">
      <c r="A5" s="2">
        <v>43951</v>
      </c>
      <c r="B5" s="1">
        <v>0.25</v>
      </c>
      <c r="C5" s="2">
        <v>43922</v>
      </c>
      <c r="D5" s="1">
        <v>0.65659999999999996</v>
      </c>
      <c r="E5" s="1">
        <v>57.8</v>
      </c>
      <c r="F5" s="1">
        <v>4.82</v>
      </c>
      <c r="G5" s="1">
        <v>4.22</v>
      </c>
      <c r="H5" s="1">
        <v>5.26</v>
      </c>
      <c r="I5" s="3">
        <f t="shared" si="0"/>
        <v>4.57</v>
      </c>
    </row>
    <row r="6" spans="1:9" x14ac:dyDescent="0.25">
      <c r="A6" s="2">
        <v>43982</v>
      </c>
      <c r="B6" s="1">
        <v>0.25</v>
      </c>
      <c r="C6" s="2">
        <v>43952</v>
      </c>
      <c r="D6" s="1">
        <v>0.66590000000000005</v>
      </c>
      <c r="E6" s="1">
        <v>58.8</v>
      </c>
      <c r="F6" s="1">
        <v>4.75</v>
      </c>
      <c r="G6" s="1">
        <v>4.24</v>
      </c>
      <c r="H6" s="1">
        <v>5.0999999999999996</v>
      </c>
      <c r="I6" s="3">
        <f t="shared" si="0"/>
        <v>4.5</v>
      </c>
    </row>
    <row r="7" spans="1:9" x14ac:dyDescent="0.25">
      <c r="A7" s="2">
        <v>44012</v>
      </c>
      <c r="B7" s="1">
        <v>0.25</v>
      </c>
      <c r="C7" s="2">
        <v>43983</v>
      </c>
      <c r="D7" s="1">
        <v>0.68630000000000002</v>
      </c>
      <c r="E7" s="1">
        <v>60</v>
      </c>
      <c r="F7" s="1">
        <v>4.7</v>
      </c>
      <c r="G7" s="1">
        <v>4.21</v>
      </c>
      <c r="H7" s="1">
        <v>5</v>
      </c>
      <c r="I7" s="3">
        <f t="shared" si="0"/>
        <v>4.45</v>
      </c>
    </row>
    <row r="8" spans="1:9" x14ac:dyDescent="0.25">
      <c r="A8" s="2">
        <v>44043</v>
      </c>
      <c r="B8" s="1">
        <v>0.25</v>
      </c>
      <c r="C8" s="2">
        <v>44013</v>
      </c>
      <c r="D8" s="1">
        <v>0.72130000000000005</v>
      </c>
      <c r="E8" s="1">
        <v>61.9</v>
      </c>
      <c r="F8" s="1">
        <v>4.67</v>
      </c>
      <c r="G8" s="1">
        <v>4.18</v>
      </c>
      <c r="H8" s="1">
        <v>5.05</v>
      </c>
      <c r="I8" s="3">
        <f t="shared" si="0"/>
        <v>4.42</v>
      </c>
    </row>
    <row r="9" spans="1:9" x14ac:dyDescent="0.25">
      <c r="A9" s="2">
        <v>44074</v>
      </c>
      <c r="B9" s="1">
        <v>0.25</v>
      </c>
      <c r="C9" s="2">
        <v>44044</v>
      </c>
      <c r="D9" s="1">
        <v>0.73540000000000005</v>
      </c>
      <c r="E9" s="1">
        <v>62.6</v>
      </c>
      <c r="F9" s="1">
        <v>4.6399999999999997</v>
      </c>
      <c r="G9" s="1">
        <v>4.1500000000000004</v>
      </c>
      <c r="H9" s="1">
        <v>4.99</v>
      </c>
      <c r="I9" s="3">
        <f t="shared" si="0"/>
        <v>4.3899999999999997</v>
      </c>
    </row>
    <row r="10" spans="1:9" x14ac:dyDescent="0.25">
      <c r="A10" s="2">
        <v>44104</v>
      </c>
      <c r="B10" s="1">
        <v>0.25</v>
      </c>
      <c r="C10" s="2">
        <v>44075</v>
      </c>
      <c r="D10" s="1">
        <v>0.71079999999999999</v>
      </c>
      <c r="E10" s="1">
        <v>60.7</v>
      </c>
      <c r="F10" s="1">
        <v>4.62</v>
      </c>
      <c r="G10" s="1">
        <v>4.13</v>
      </c>
      <c r="H10" s="1">
        <v>4.95</v>
      </c>
      <c r="I10" s="3">
        <f t="shared" si="0"/>
        <v>4.37</v>
      </c>
    </row>
    <row r="11" spans="1:9" x14ac:dyDescent="0.25">
      <c r="A11" s="2">
        <v>44135</v>
      </c>
      <c r="B11" s="1">
        <v>0.25</v>
      </c>
      <c r="C11" s="2">
        <v>44105</v>
      </c>
      <c r="D11" s="1">
        <v>0.70440000000000003</v>
      </c>
      <c r="E11" s="1">
        <v>59.5</v>
      </c>
      <c r="F11" s="1">
        <v>4.57</v>
      </c>
      <c r="G11" s="1">
        <v>4.1100000000000003</v>
      </c>
      <c r="H11" s="1">
        <v>4.83</v>
      </c>
      <c r="I11" s="3">
        <f t="shared" si="0"/>
        <v>4.32</v>
      </c>
    </row>
    <row r="12" spans="1:9" x14ac:dyDescent="0.25">
      <c r="A12" s="2">
        <v>44165</v>
      </c>
      <c r="B12" s="1">
        <v>0.11</v>
      </c>
      <c r="C12" s="2">
        <v>44136</v>
      </c>
      <c r="D12" s="1">
        <v>0.73929999999999996</v>
      </c>
      <c r="E12" s="1">
        <v>61.5</v>
      </c>
      <c r="F12" s="1">
        <v>4.58</v>
      </c>
      <c r="G12" s="1">
        <v>4.08</v>
      </c>
      <c r="H12" s="1">
        <v>4.84</v>
      </c>
      <c r="I12" s="3">
        <f t="shared" si="0"/>
        <v>4.47</v>
      </c>
    </row>
    <row r="13" spans="1:9" x14ac:dyDescent="0.25">
      <c r="A13" s="2">
        <v>44196</v>
      </c>
      <c r="B13" s="1">
        <v>0.1</v>
      </c>
      <c r="C13" s="2">
        <v>44166</v>
      </c>
      <c r="D13" s="1">
        <v>0.7702</v>
      </c>
      <c r="E13" s="1">
        <v>63.4</v>
      </c>
      <c r="F13" s="1">
        <v>4.53</v>
      </c>
      <c r="G13" s="1">
        <v>4.05</v>
      </c>
      <c r="H13" s="1">
        <v>4.76</v>
      </c>
      <c r="I13" s="3">
        <f t="shared" si="0"/>
        <v>4.4300000000000006</v>
      </c>
    </row>
    <row r="14" spans="1:9" x14ac:dyDescent="0.25">
      <c r="A14" s="2">
        <v>44227</v>
      </c>
      <c r="B14" s="1">
        <v>0.1</v>
      </c>
      <c r="C14" s="2">
        <v>44197</v>
      </c>
      <c r="D14" s="1">
        <v>0.76449999999999996</v>
      </c>
      <c r="E14" s="1">
        <v>63</v>
      </c>
      <c r="F14" s="1">
        <v>4.5199999999999996</v>
      </c>
      <c r="G14" s="1">
        <v>4.03</v>
      </c>
      <c r="H14" s="1">
        <v>4.7300000000000004</v>
      </c>
      <c r="I14" s="3">
        <f t="shared" si="0"/>
        <v>4.42</v>
      </c>
    </row>
    <row r="15" spans="1:9" x14ac:dyDescent="0.25">
      <c r="A15" s="2">
        <v>44255</v>
      </c>
      <c r="B15" s="1">
        <v>0.1</v>
      </c>
      <c r="C15" s="2">
        <v>44228</v>
      </c>
      <c r="D15" s="1">
        <v>0.78290000000000004</v>
      </c>
      <c r="E15" s="1">
        <v>64.5</v>
      </c>
      <c r="F15" s="1">
        <v>4.46</v>
      </c>
      <c r="G15" s="1">
        <v>4.01</v>
      </c>
      <c r="H15" s="1">
        <v>4.6100000000000003</v>
      </c>
      <c r="I15" s="3">
        <f t="shared" si="0"/>
        <v>4.3600000000000003</v>
      </c>
    </row>
    <row r="16" spans="1:9" x14ac:dyDescent="0.25">
      <c r="A16" s="2">
        <v>44286</v>
      </c>
      <c r="B16" s="1">
        <v>0.1</v>
      </c>
      <c r="C16" s="2">
        <v>44256</v>
      </c>
      <c r="D16" s="1">
        <v>0.76019999999999999</v>
      </c>
      <c r="E16" s="1">
        <v>63.9</v>
      </c>
      <c r="F16" s="1">
        <v>4.42</v>
      </c>
      <c r="G16" s="1">
        <v>3.98</v>
      </c>
      <c r="H16" s="1">
        <v>4.53</v>
      </c>
      <c r="I16" s="3">
        <f t="shared" si="0"/>
        <v>4.32</v>
      </c>
    </row>
    <row r="17" spans="1:9" x14ac:dyDescent="0.25">
      <c r="A17" s="2">
        <v>44316</v>
      </c>
      <c r="B17" s="1">
        <v>0.1</v>
      </c>
      <c r="C17" s="2">
        <v>44287</v>
      </c>
      <c r="D17" s="1">
        <v>0.77759999999999996</v>
      </c>
      <c r="E17" s="1">
        <v>64.400000000000006</v>
      </c>
      <c r="F17" s="1">
        <v>4.3899999999999997</v>
      </c>
      <c r="G17" s="1">
        <v>3.95</v>
      </c>
      <c r="H17" s="1">
        <v>4.46</v>
      </c>
      <c r="I17" s="3">
        <f t="shared" si="0"/>
        <v>4.29</v>
      </c>
    </row>
    <row r="18" spans="1:9" x14ac:dyDescent="0.25">
      <c r="A18" s="2">
        <v>44347</v>
      </c>
      <c r="B18" s="1">
        <v>0.1</v>
      </c>
      <c r="C18" s="2">
        <v>44317</v>
      </c>
      <c r="D18" s="1">
        <v>0.77249999999999996</v>
      </c>
      <c r="E18" s="1">
        <v>63.5</v>
      </c>
      <c r="F18" s="1">
        <v>4.38</v>
      </c>
      <c r="G18" s="1">
        <v>3.92</v>
      </c>
      <c r="H18" s="1">
        <v>4.46</v>
      </c>
      <c r="I18" s="3">
        <f t="shared" si="0"/>
        <v>4.28</v>
      </c>
    </row>
    <row r="19" spans="1:9" x14ac:dyDescent="0.25">
      <c r="A19" s="2">
        <v>44377</v>
      </c>
      <c r="B19" s="1">
        <v>0.1</v>
      </c>
      <c r="C19" s="2">
        <v>44348</v>
      </c>
      <c r="D19" s="1">
        <v>0.75180000000000002</v>
      </c>
      <c r="E19" s="1">
        <v>62.7</v>
      </c>
      <c r="F19" s="1">
        <v>4.34</v>
      </c>
      <c r="G19" s="1">
        <v>3.89</v>
      </c>
      <c r="H19" s="1">
        <v>4.38</v>
      </c>
      <c r="I19" s="3">
        <f t="shared" si="0"/>
        <v>4.24</v>
      </c>
    </row>
    <row r="20" spans="1:9" x14ac:dyDescent="0.25">
      <c r="A20" s="2">
        <v>44408</v>
      </c>
      <c r="B20" s="1">
        <v>0.1</v>
      </c>
      <c r="C20" s="2">
        <v>44378</v>
      </c>
      <c r="D20" s="1">
        <v>0.73809999999999998</v>
      </c>
      <c r="E20" s="1">
        <v>61.6</v>
      </c>
      <c r="F20" s="1">
        <v>4.29</v>
      </c>
      <c r="G20" s="1">
        <v>3.86</v>
      </c>
      <c r="H20" s="1">
        <v>4.28</v>
      </c>
      <c r="I20" s="3">
        <f t="shared" si="0"/>
        <v>4.1900000000000004</v>
      </c>
    </row>
    <row r="21" spans="1:9" x14ac:dyDescent="0.25">
      <c r="A21" s="2">
        <v>44439</v>
      </c>
      <c r="B21" s="1">
        <v>0.1</v>
      </c>
      <c r="C21" s="2">
        <v>44409</v>
      </c>
      <c r="D21" s="1">
        <v>0.73350000000000004</v>
      </c>
      <c r="E21" s="1">
        <v>61.2</v>
      </c>
      <c r="F21" s="1">
        <v>4.26</v>
      </c>
      <c r="G21" s="1">
        <v>3.83</v>
      </c>
      <c r="H21" s="1">
        <v>4.2300000000000004</v>
      </c>
      <c r="I21" s="3">
        <f t="shared" si="0"/>
        <v>4.16</v>
      </c>
    </row>
    <row r="22" spans="1:9" x14ac:dyDescent="0.25">
      <c r="A22" s="2">
        <v>44469</v>
      </c>
      <c r="B22" s="1">
        <v>0.1</v>
      </c>
      <c r="C22" s="2">
        <v>44440</v>
      </c>
      <c r="D22" s="1">
        <v>0.72060000000000002</v>
      </c>
      <c r="E22" s="1">
        <v>60.8</v>
      </c>
      <c r="F22" s="1">
        <v>4.24</v>
      </c>
      <c r="G22" s="1">
        <v>3.81</v>
      </c>
      <c r="H22" s="1">
        <v>4.1900000000000004</v>
      </c>
      <c r="I22" s="3">
        <f t="shared" si="0"/>
        <v>4.1400000000000006</v>
      </c>
    </row>
    <row r="23" spans="1:9" x14ac:dyDescent="0.25">
      <c r="A23" s="2">
        <v>44500</v>
      </c>
      <c r="B23" s="1">
        <v>0.1</v>
      </c>
      <c r="C23" s="2">
        <v>44470</v>
      </c>
      <c r="D23" s="1">
        <v>0.75460000000000005</v>
      </c>
      <c r="E23" s="1">
        <v>63.1</v>
      </c>
      <c r="F23" s="1">
        <v>4.2</v>
      </c>
      <c r="G23" s="1">
        <v>3.78</v>
      </c>
      <c r="H23" s="1">
        <v>4.1399999999999997</v>
      </c>
      <c r="I23" s="3">
        <f t="shared" si="0"/>
        <v>4.1000000000000005</v>
      </c>
    </row>
    <row r="24" spans="1:9" x14ac:dyDescent="0.25">
      <c r="A24" s="2">
        <v>44530</v>
      </c>
      <c r="B24" s="1">
        <v>0.1</v>
      </c>
      <c r="C24" s="2">
        <v>44501</v>
      </c>
      <c r="D24" s="1">
        <v>0.71440000000000003</v>
      </c>
      <c r="E24" s="1">
        <v>60.2</v>
      </c>
      <c r="F24" s="1">
        <v>4.1900000000000004</v>
      </c>
      <c r="G24" s="1">
        <v>3.75</v>
      </c>
      <c r="H24" s="1">
        <v>4.12</v>
      </c>
      <c r="I24" s="3">
        <f t="shared" si="0"/>
        <v>4.0900000000000007</v>
      </c>
    </row>
    <row r="25" spans="1:9" x14ac:dyDescent="0.25">
      <c r="A25" s="2">
        <v>44561</v>
      </c>
      <c r="B25">
        <v>0.1</v>
      </c>
      <c r="C25" s="2">
        <v>44531</v>
      </c>
      <c r="D25">
        <v>0.72560000000000002</v>
      </c>
      <c r="E25">
        <v>61.1</v>
      </c>
      <c r="F25">
        <v>4.16</v>
      </c>
      <c r="G25">
        <v>3.72</v>
      </c>
      <c r="H25">
        <v>4.08</v>
      </c>
      <c r="I25" s="3">
        <f t="shared" si="0"/>
        <v>4.0600000000000005</v>
      </c>
    </row>
    <row r="26" spans="1:9" x14ac:dyDescent="0.25">
      <c r="A26" s="2">
        <v>44592</v>
      </c>
      <c r="B26">
        <v>0.1</v>
      </c>
      <c r="C26" s="2">
        <v>44562</v>
      </c>
      <c r="D26">
        <v>0.70109999999999995</v>
      </c>
      <c r="E26">
        <v>59.3</v>
      </c>
      <c r="F26">
        <v>4.16</v>
      </c>
      <c r="G26">
        <v>3.73</v>
      </c>
      <c r="H26">
        <v>4.0599999999999996</v>
      </c>
      <c r="I26" s="3">
        <f t="shared" si="0"/>
        <v>4.0600000000000005</v>
      </c>
    </row>
    <row r="27" spans="1:9" x14ac:dyDescent="0.25">
      <c r="A27" s="2">
        <v>44620</v>
      </c>
      <c r="B27">
        <v>0.1</v>
      </c>
      <c r="C27" s="2">
        <v>44593</v>
      </c>
      <c r="D27">
        <v>0.71819999999999995</v>
      </c>
      <c r="E27">
        <v>60.6</v>
      </c>
      <c r="F27">
        <v>4.1399999999999997</v>
      </c>
      <c r="G27">
        <v>3.71</v>
      </c>
      <c r="H27">
        <v>4.01</v>
      </c>
      <c r="I27" s="3">
        <f t="shared" si="0"/>
        <v>4.04</v>
      </c>
    </row>
    <row r="28" spans="1:9" x14ac:dyDescent="0.25">
      <c r="A28" s="2">
        <v>44651</v>
      </c>
      <c r="B28">
        <v>0.1</v>
      </c>
      <c r="C28" s="2">
        <v>44621</v>
      </c>
      <c r="D28">
        <v>0.74819999999999998</v>
      </c>
      <c r="E28">
        <v>63.6</v>
      </c>
      <c r="F28">
        <v>4.12</v>
      </c>
      <c r="G28">
        <v>3.67</v>
      </c>
      <c r="H28">
        <v>4.01</v>
      </c>
      <c r="I28" s="3">
        <f t="shared" si="0"/>
        <v>4.0200000000000005</v>
      </c>
    </row>
    <row r="29" spans="1:9" x14ac:dyDescent="0.25">
      <c r="A29" s="2">
        <v>44681</v>
      </c>
      <c r="B29">
        <v>0.1</v>
      </c>
      <c r="C29" s="2">
        <v>44652</v>
      </c>
      <c r="D29">
        <v>0.71479999999999999</v>
      </c>
      <c r="E29">
        <v>63.1</v>
      </c>
      <c r="F29">
        <v>4.1100000000000003</v>
      </c>
      <c r="G29">
        <v>3.66</v>
      </c>
      <c r="H29">
        <v>4.0199999999999996</v>
      </c>
      <c r="I29" s="3">
        <f t="shared" si="0"/>
        <v>4.0100000000000007</v>
      </c>
    </row>
    <row r="30" spans="1:9" x14ac:dyDescent="0.25">
      <c r="A30" s="2">
        <v>44712</v>
      </c>
      <c r="B30">
        <v>0.33</v>
      </c>
      <c r="C30" s="2">
        <v>44682</v>
      </c>
      <c r="D30">
        <v>0.71870000000000001</v>
      </c>
      <c r="E30">
        <v>63.2</v>
      </c>
      <c r="F30">
        <v>4.24</v>
      </c>
      <c r="G30">
        <v>3.81</v>
      </c>
      <c r="H30">
        <v>4.07</v>
      </c>
      <c r="I30" s="3">
        <f t="shared" si="0"/>
        <v>3.91</v>
      </c>
    </row>
    <row r="31" spans="1:9" x14ac:dyDescent="0.25">
      <c r="A31" s="2">
        <v>44742</v>
      </c>
      <c r="B31">
        <v>0.73</v>
      </c>
      <c r="C31" s="2">
        <v>44713</v>
      </c>
      <c r="D31">
        <v>0.68889999999999996</v>
      </c>
      <c r="E31">
        <v>61.8</v>
      </c>
      <c r="F31">
        <v>4.5599999999999996</v>
      </c>
      <c r="G31">
        <v>4.1900000000000004</v>
      </c>
      <c r="H31">
        <v>4.1500000000000004</v>
      </c>
      <c r="I31" s="3">
        <f t="shared" si="0"/>
        <v>3.8299999999999996</v>
      </c>
    </row>
    <row r="32" spans="1:9" x14ac:dyDescent="0.25">
      <c r="A32" s="2">
        <v>44773</v>
      </c>
      <c r="B32">
        <v>1.28</v>
      </c>
      <c r="C32" s="2">
        <v>44743</v>
      </c>
      <c r="D32">
        <v>0.70069999999999999</v>
      </c>
      <c r="E32">
        <v>63.1</v>
      </c>
      <c r="F32">
        <v>4.9000000000000004</v>
      </c>
      <c r="G32">
        <v>4.62</v>
      </c>
      <c r="H32">
        <v>4.21</v>
      </c>
      <c r="I32" s="3">
        <f t="shared" si="0"/>
        <v>3.62</v>
      </c>
    </row>
    <row r="33" spans="1:9" x14ac:dyDescent="0.25">
      <c r="A33" s="2">
        <v>44804</v>
      </c>
      <c r="B33">
        <v>1.81</v>
      </c>
      <c r="C33" s="2">
        <v>44774</v>
      </c>
      <c r="D33">
        <v>0.69020000000000004</v>
      </c>
      <c r="E33">
        <v>63.3</v>
      </c>
      <c r="F33">
        <v>5.2</v>
      </c>
      <c r="G33">
        <v>5.04</v>
      </c>
      <c r="H33">
        <v>4.22</v>
      </c>
      <c r="I33" s="3">
        <f t="shared" si="0"/>
        <v>3.39</v>
      </c>
    </row>
    <row r="34" spans="1:9" x14ac:dyDescent="0.25">
      <c r="A34" s="2">
        <v>44834</v>
      </c>
      <c r="B34">
        <v>2.25</v>
      </c>
      <c r="C34" s="2">
        <v>44805</v>
      </c>
      <c r="D34">
        <v>0.6502</v>
      </c>
      <c r="E34">
        <v>61.5</v>
      </c>
      <c r="F34">
        <v>5.52</v>
      </c>
      <c r="G34">
        <v>5.43</v>
      </c>
      <c r="H34">
        <v>4.29</v>
      </c>
      <c r="I34" s="3">
        <f t="shared" ref="I34:I65" si="1">IFERROR(F34-B34,"")</f>
        <v>3.2699999999999996</v>
      </c>
    </row>
    <row r="35" spans="1:9" x14ac:dyDescent="0.25">
      <c r="A35" s="2">
        <v>44865</v>
      </c>
      <c r="B35">
        <v>2.58</v>
      </c>
      <c r="C35" s="2">
        <v>44835</v>
      </c>
      <c r="D35">
        <v>0.64200000000000002</v>
      </c>
      <c r="E35">
        <v>61.3</v>
      </c>
      <c r="F35">
        <v>5.71</v>
      </c>
      <c r="G35">
        <v>5.62</v>
      </c>
      <c r="H35">
        <v>4.37</v>
      </c>
      <c r="I35" s="3">
        <f t="shared" si="1"/>
        <v>3.13</v>
      </c>
    </row>
    <row r="36" spans="1:9" x14ac:dyDescent="0.25">
      <c r="A36" s="2">
        <v>44895</v>
      </c>
      <c r="B36">
        <v>2.84</v>
      </c>
      <c r="C36" s="2">
        <v>44866</v>
      </c>
      <c r="D36">
        <v>0.66979999999999995</v>
      </c>
      <c r="E36">
        <v>62.1</v>
      </c>
      <c r="F36">
        <v>5.84</v>
      </c>
      <c r="G36">
        <v>5.8</v>
      </c>
      <c r="H36">
        <v>4.3499999999999996</v>
      </c>
      <c r="I36" s="3">
        <f t="shared" si="1"/>
        <v>3</v>
      </c>
    </row>
    <row r="37" spans="1:9" x14ac:dyDescent="0.25">
      <c r="A37" s="2">
        <v>44926</v>
      </c>
      <c r="B37">
        <v>3.05</v>
      </c>
      <c r="C37" s="2">
        <v>44896</v>
      </c>
      <c r="D37">
        <v>0.67749999999999999</v>
      </c>
      <c r="E37">
        <v>61.4</v>
      </c>
      <c r="F37">
        <v>6</v>
      </c>
      <c r="G37">
        <v>5.94</v>
      </c>
      <c r="H37">
        <v>4.43</v>
      </c>
      <c r="I37" s="3">
        <f t="shared" si="1"/>
        <v>2.95</v>
      </c>
    </row>
    <row r="38" spans="1:9" x14ac:dyDescent="0.25">
      <c r="A38" s="2">
        <v>44957</v>
      </c>
      <c r="B38">
        <v>3.1</v>
      </c>
      <c r="C38" s="2">
        <v>44927</v>
      </c>
      <c r="D38">
        <v>0.70369999999999999</v>
      </c>
      <c r="E38">
        <v>62.4</v>
      </c>
      <c r="F38">
        <v>6.04</v>
      </c>
      <c r="G38">
        <v>5.97</v>
      </c>
      <c r="H38">
        <v>4.49</v>
      </c>
      <c r="I38" s="3">
        <f t="shared" si="1"/>
        <v>2.94</v>
      </c>
    </row>
    <row r="39" spans="1:9" x14ac:dyDescent="0.25">
      <c r="A39" s="2">
        <v>44985</v>
      </c>
      <c r="B39">
        <v>3.29</v>
      </c>
      <c r="C39" s="2">
        <v>44958</v>
      </c>
      <c r="D39">
        <v>0.67300000000000004</v>
      </c>
      <c r="E39">
        <v>61.4</v>
      </c>
      <c r="F39">
        <v>6.2</v>
      </c>
      <c r="G39">
        <v>6.14</v>
      </c>
      <c r="H39">
        <v>4.57</v>
      </c>
      <c r="I39" s="3">
        <f t="shared" si="1"/>
        <v>2.91</v>
      </c>
    </row>
    <row r="40" spans="1:9" x14ac:dyDescent="0.25">
      <c r="A40" s="2">
        <v>45016</v>
      </c>
      <c r="B40">
        <v>3.54</v>
      </c>
      <c r="C40" s="2">
        <v>44986</v>
      </c>
      <c r="D40">
        <v>0.67120000000000002</v>
      </c>
      <c r="E40">
        <v>60.3</v>
      </c>
      <c r="F40">
        <v>6.37</v>
      </c>
      <c r="G40">
        <v>6.32</v>
      </c>
      <c r="H40">
        <v>4.68</v>
      </c>
      <c r="I40" s="3">
        <f t="shared" si="1"/>
        <v>2.83</v>
      </c>
    </row>
    <row r="41" spans="1:9" x14ac:dyDescent="0.25">
      <c r="A41" s="2">
        <v>45046</v>
      </c>
      <c r="B41">
        <v>3.6</v>
      </c>
      <c r="C41" s="2">
        <v>45017</v>
      </c>
      <c r="D41">
        <v>0.66100000000000003</v>
      </c>
      <c r="E41">
        <v>59.8</v>
      </c>
      <c r="F41">
        <v>6.39</v>
      </c>
      <c r="G41">
        <v>6.32</v>
      </c>
      <c r="H41">
        <v>4.7300000000000004</v>
      </c>
      <c r="I41" s="3">
        <f t="shared" si="1"/>
        <v>2.7899999999999996</v>
      </c>
    </row>
    <row r="42" spans="1:9" x14ac:dyDescent="0.25">
      <c r="A42" s="2">
        <v>45077</v>
      </c>
      <c r="B42">
        <v>3.83</v>
      </c>
      <c r="C42" s="2">
        <v>45047</v>
      </c>
      <c r="D42">
        <v>0.64949999999999997</v>
      </c>
      <c r="E42">
        <v>59.8</v>
      </c>
      <c r="F42">
        <v>6.57</v>
      </c>
      <c r="G42">
        <v>6.54</v>
      </c>
      <c r="H42">
        <v>4.91</v>
      </c>
      <c r="I42" s="3">
        <f t="shared" si="1"/>
        <v>2.74</v>
      </c>
    </row>
    <row r="43" spans="1:9" x14ac:dyDescent="0.25">
      <c r="A43" s="2">
        <v>45107</v>
      </c>
      <c r="B43">
        <v>4.05</v>
      </c>
      <c r="C43" s="2">
        <v>45078</v>
      </c>
      <c r="D43">
        <v>0.66300000000000003</v>
      </c>
      <c r="E43">
        <v>61.7</v>
      </c>
      <c r="F43">
        <v>6.8</v>
      </c>
      <c r="G43">
        <v>6.76</v>
      </c>
      <c r="H43">
        <v>5.26</v>
      </c>
      <c r="I43" s="3">
        <f t="shared" si="1"/>
        <v>2.75</v>
      </c>
    </row>
    <row r="44" spans="1:9" x14ac:dyDescent="0.25">
      <c r="A44" s="2">
        <v>45138</v>
      </c>
      <c r="B44">
        <v>4.0999999999999996</v>
      </c>
      <c r="C44" s="2">
        <v>45108</v>
      </c>
      <c r="D44">
        <v>0.66820000000000002</v>
      </c>
      <c r="E44">
        <v>61.3</v>
      </c>
      <c r="F44">
        <v>6.83</v>
      </c>
      <c r="G44">
        <v>6.76</v>
      </c>
      <c r="H44">
        <v>5.34</v>
      </c>
      <c r="I44" s="3">
        <f t="shared" si="1"/>
        <v>2.7300000000000004</v>
      </c>
    </row>
    <row r="45" spans="1:9" x14ac:dyDescent="0.25">
      <c r="A45" s="2">
        <v>45169</v>
      </c>
      <c r="B45">
        <v>4.0999999999999996</v>
      </c>
      <c r="C45" s="2">
        <v>45139</v>
      </c>
      <c r="D45">
        <v>0.64849999999999997</v>
      </c>
      <c r="E45">
        <v>60.6</v>
      </c>
      <c r="F45">
        <v>6.86</v>
      </c>
      <c r="G45">
        <v>6.76</v>
      </c>
      <c r="H45">
        <v>5.44</v>
      </c>
      <c r="I45" s="3">
        <f t="shared" si="1"/>
        <v>2.7600000000000007</v>
      </c>
    </row>
    <row r="46" spans="1:9" x14ac:dyDescent="0.25">
      <c r="A46" s="2">
        <v>45199</v>
      </c>
      <c r="B46">
        <v>4.0999999999999996</v>
      </c>
      <c r="C46" s="2">
        <v>45170</v>
      </c>
      <c r="D46">
        <v>0.64580000000000004</v>
      </c>
      <c r="E46">
        <v>61.1</v>
      </c>
      <c r="F46">
        <v>6.89</v>
      </c>
      <c r="G46">
        <v>6.77</v>
      </c>
      <c r="H46">
        <v>5.55</v>
      </c>
      <c r="I46" s="3">
        <f t="shared" si="1"/>
        <v>2.79</v>
      </c>
    </row>
    <row r="47" spans="1:9" x14ac:dyDescent="0.25">
      <c r="A47" s="2">
        <v>45230</v>
      </c>
      <c r="B47">
        <v>4.0999999999999996</v>
      </c>
      <c r="C47" s="2">
        <v>45200</v>
      </c>
      <c r="D47">
        <v>0.63460000000000005</v>
      </c>
      <c r="E47">
        <v>60.2</v>
      </c>
      <c r="F47">
        <v>6.92</v>
      </c>
      <c r="G47">
        <v>6.78</v>
      </c>
      <c r="H47">
        <v>5.71</v>
      </c>
      <c r="I47" s="3">
        <f t="shared" si="1"/>
        <v>2.8200000000000003</v>
      </c>
    </row>
    <row r="48" spans="1:9" x14ac:dyDescent="0.25">
      <c r="A48" s="2">
        <v>45260</v>
      </c>
      <c r="B48">
        <v>4.29</v>
      </c>
      <c r="C48" s="2">
        <v>45231</v>
      </c>
      <c r="D48">
        <v>0.66479999999999995</v>
      </c>
      <c r="E48">
        <v>61.5</v>
      </c>
      <c r="F48">
        <v>7.09</v>
      </c>
      <c r="G48">
        <v>7</v>
      </c>
      <c r="H48">
        <v>5.83</v>
      </c>
      <c r="I48" s="3">
        <f t="shared" si="1"/>
        <v>2.8</v>
      </c>
    </row>
    <row r="49" spans="1:9" x14ac:dyDescent="0.25">
      <c r="A49" s="2">
        <v>45291</v>
      </c>
      <c r="B49">
        <v>4.3499999999999996</v>
      </c>
      <c r="C49" s="2">
        <v>45261</v>
      </c>
      <c r="D49">
        <v>0.68400000000000005</v>
      </c>
      <c r="E49">
        <v>62.6</v>
      </c>
      <c r="F49">
        <v>7.13</v>
      </c>
      <c r="G49">
        <v>7.02</v>
      </c>
      <c r="H49">
        <v>5.93</v>
      </c>
      <c r="I49" s="3">
        <f t="shared" si="1"/>
        <v>2.7800000000000002</v>
      </c>
    </row>
    <row r="50" spans="1:9" x14ac:dyDescent="0.25">
      <c r="A50" s="2">
        <v>45322</v>
      </c>
      <c r="B50">
        <v>4.3499999999999996</v>
      </c>
      <c r="C50" s="2">
        <v>45292</v>
      </c>
      <c r="D50">
        <v>0.65739999999999998</v>
      </c>
      <c r="E50">
        <v>61.4</v>
      </c>
      <c r="F50">
        <v>7.16</v>
      </c>
      <c r="G50">
        <v>7.03</v>
      </c>
      <c r="H50">
        <v>6.01</v>
      </c>
      <c r="I50" s="3">
        <f t="shared" si="1"/>
        <v>2.8100000000000005</v>
      </c>
    </row>
    <row r="51" spans="1:9" x14ac:dyDescent="0.25">
      <c r="A51" s="2">
        <v>45351</v>
      </c>
      <c r="B51">
        <v>4.3499999999999996</v>
      </c>
      <c r="C51" s="2">
        <v>45323</v>
      </c>
      <c r="D51">
        <v>0.65190000000000003</v>
      </c>
      <c r="E51">
        <v>61.1</v>
      </c>
      <c r="F51">
        <v>7.19</v>
      </c>
      <c r="G51">
        <v>7.05</v>
      </c>
      <c r="H51">
        <v>6.11</v>
      </c>
      <c r="I51" s="3">
        <f t="shared" si="1"/>
        <v>2.8400000000000007</v>
      </c>
    </row>
    <row r="52" spans="1:9" x14ac:dyDescent="0.25">
      <c r="A52" s="2">
        <v>45382</v>
      </c>
      <c r="B52">
        <v>4.3499999999999996</v>
      </c>
      <c r="C52" s="2">
        <v>45352</v>
      </c>
      <c r="D52">
        <v>0.6532</v>
      </c>
      <c r="E52">
        <v>61.5</v>
      </c>
      <c r="F52">
        <v>7.22</v>
      </c>
      <c r="G52">
        <v>7.06</v>
      </c>
      <c r="H52">
        <v>6.22</v>
      </c>
      <c r="I52" s="3">
        <f t="shared" si="1"/>
        <v>2.87</v>
      </c>
    </row>
    <row r="53" spans="1:9" x14ac:dyDescent="0.25">
      <c r="A53" s="2">
        <v>45412</v>
      </c>
      <c r="B53">
        <v>4.3499999999999996</v>
      </c>
      <c r="C53" s="2">
        <v>45383</v>
      </c>
      <c r="D53">
        <v>0.65249999999999997</v>
      </c>
      <c r="E53">
        <v>62.2</v>
      </c>
      <c r="F53">
        <v>7.28</v>
      </c>
      <c r="G53">
        <v>7.07</v>
      </c>
      <c r="H53">
        <v>6.44</v>
      </c>
      <c r="I53" s="3">
        <f t="shared" si="1"/>
        <v>2.9300000000000006</v>
      </c>
    </row>
    <row r="54" spans="1:9" x14ac:dyDescent="0.25">
      <c r="A54" s="2">
        <v>45443</v>
      </c>
      <c r="B54">
        <v>4.3499999999999996</v>
      </c>
      <c r="C54" s="2">
        <v>45413</v>
      </c>
      <c r="D54">
        <v>0.66369999999999996</v>
      </c>
      <c r="E54">
        <v>63.1</v>
      </c>
      <c r="F54">
        <v>7.32</v>
      </c>
      <c r="G54">
        <v>7.08</v>
      </c>
      <c r="H54">
        <v>6.55</v>
      </c>
      <c r="I54" s="3">
        <f t="shared" si="1"/>
        <v>2.9700000000000006</v>
      </c>
    </row>
    <row r="55" spans="1:9" x14ac:dyDescent="0.25">
      <c r="A55" s="2">
        <v>45473</v>
      </c>
      <c r="B55">
        <v>4.3499999999999996</v>
      </c>
      <c r="C55" s="2">
        <v>45444</v>
      </c>
      <c r="D55">
        <v>0.66239999999999999</v>
      </c>
      <c r="E55">
        <v>63.3</v>
      </c>
      <c r="F55">
        <v>7.33</v>
      </c>
      <c r="G55">
        <v>7.08</v>
      </c>
      <c r="H55">
        <v>6.63</v>
      </c>
      <c r="I55" s="3">
        <f t="shared" si="1"/>
        <v>2.9800000000000004</v>
      </c>
    </row>
    <row r="56" spans="1:9" x14ac:dyDescent="0.25">
      <c r="A56" s="2">
        <v>45504</v>
      </c>
      <c r="B56">
        <v>4.3499999999999996</v>
      </c>
      <c r="C56" s="2">
        <v>45474</v>
      </c>
      <c r="D56">
        <v>0.64910000000000001</v>
      </c>
      <c r="E56">
        <v>61.4</v>
      </c>
      <c r="F56">
        <v>7.39</v>
      </c>
      <c r="G56">
        <v>7.11</v>
      </c>
      <c r="H56">
        <v>6.8</v>
      </c>
      <c r="I56" s="3">
        <f t="shared" si="1"/>
        <v>3.04</v>
      </c>
    </row>
    <row r="57" spans="1:9" x14ac:dyDescent="0.25">
      <c r="A57" s="2">
        <v>45535</v>
      </c>
      <c r="B57">
        <v>4.3499999999999996</v>
      </c>
      <c r="C57" s="2">
        <v>45505</v>
      </c>
      <c r="D57">
        <v>0.68059999999999998</v>
      </c>
      <c r="E57">
        <v>62.6</v>
      </c>
      <c r="F57">
        <v>7.41</v>
      </c>
      <c r="G57">
        <v>7.11</v>
      </c>
      <c r="H57">
        <v>6.88</v>
      </c>
      <c r="I57" s="3">
        <f t="shared" si="1"/>
        <v>3.0600000000000005</v>
      </c>
    </row>
    <row r="58" spans="1:9" x14ac:dyDescent="0.25">
      <c r="A58" s="2">
        <v>45565</v>
      </c>
      <c r="B58">
        <v>4.3499999999999996</v>
      </c>
      <c r="C58" s="2">
        <v>45536</v>
      </c>
      <c r="D58">
        <v>0.69320000000000004</v>
      </c>
      <c r="E58">
        <v>62.8</v>
      </c>
      <c r="F58">
        <v>7.42</v>
      </c>
      <c r="G58">
        <v>7.11</v>
      </c>
      <c r="H58">
        <v>6.94</v>
      </c>
      <c r="I58" s="3">
        <f t="shared" si="1"/>
        <v>3.0700000000000003</v>
      </c>
    </row>
    <row r="59" spans="1:9" x14ac:dyDescent="0.25">
      <c r="A59" s="2">
        <v>45596</v>
      </c>
      <c r="B59">
        <v>4.3499999999999996</v>
      </c>
      <c r="C59" s="2">
        <v>45566</v>
      </c>
      <c r="D59">
        <v>0.65690000000000004</v>
      </c>
      <c r="E59">
        <v>61.5</v>
      </c>
      <c r="F59">
        <v>7.41</v>
      </c>
      <c r="G59">
        <v>7.11</v>
      </c>
      <c r="H59">
        <v>6.96</v>
      </c>
      <c r="I59" s="3">
        <f t="shared" si="1"/>
        <v>3.0600000000000005</v>
      </c>
    </row>
    <row r="60" spans="1:9" x14ac:dyDescent="0.25">
      <c r="A60" s="2">
        <v>45626</v>
      </c>
      <c r="B60">
        <v>4.3499999999999996</v>
      </c>
      <c r="C60" s="2">
        <v>45597</v>
      </c>
      <c r="D60">
        <v>0.65169999999999995</v>
      </c>
      <c r="E60">
        <v>61.5</v>
      </c>
      <c r="F60">
        <v>7.42</v>
      </c>
      <c r="G60">
        <v>7.11</v>
      </c>
      <c r="H60">
        <v>7.02</v>
      </c>
      <c r="I60" s="3">
        <f t="shared" si="1"/>
        <v>3.0700000000000003</v>
      </c>
    </row>
    <row r="61" spans="1:9" x14ac:dyDescent="0.25">
      <c r="A61" s="2">
        <v>45657</v>
      </c>
      <c r="B61">
        <v>4.3499999999999996</v>
      </c>
      <c r="C61" s="2">
        <v>45627</v>
      </c>
      <c r="D61">
        <v>0.62170000000000003</v>
      </c>
      <c r="E61">
        <v>59.7</v>
      </c>
      <c r="F61">
        <v>7.43</v>
      </c>
      <c r="G61">
        <v>7.11</v>
      </c>
      <c r="H61">
        <v>7.08</v>
      </c>
      <c r="I61" s="3">
        <f t="shared" si="1"/>
        <v>3.08</v>
      </c>
    </row>
    <row r="62" spans="1:9" x14ac:dyDescent="0.25">
      <c r="A62" s="2">
        <v>45688</v>
      </c>
      <c r="B62">
        <v>4.3499999999999996</v>
      </c>
      <c r="C62" s="2">
        <v>45658</v>
      </c>
      <c r="D62">
        <v>0.62250000000000005</v>
      </c>
      <c r="E62">
        <v>59.6</v>
      </c>
      <c r="F62">
        <v>7.44</v>
      </c>
      <c r="G62">
        <v>7.11</v>
      </c>
      <c r="H62">
        <v>7.12</v>
      </c>
      <c r="I62" s="3">
        <f t="shared" si="1"/>
        <v>3.0900000000000007</v>
      </c>
    </row>
    <row r="63" spans="1:9" x14ac:dyDescent="0.25">
      <c r="A63" s="2">
        <v>45716</v>
      </c>
      <c r="B63">
        <v>4.25</v>
      </c>
      <c r="C63" s="2">
        <v>45689</v>
      </c>
      <c r="D63">
        <v>0.62139999999999995</v>
      </c>
      <c r="E63">
        <v>59.5</v>
      </c>
      <c r="F63">
        <v>7.33</v>
      </c>
      <c r="G63">
        <v>6.95</v>
      </c>
      <c r="H63">
        <v>7.12</v>
      </c>
      <c r="I63" s="3">
        <f t="shared" si="1"/>
        <v>3.08</v>
      </c>
    </row>
    <row r="64" spans="1:9" x14ac:dyDescent="0.25">
      <c r="A64" s="2">
        <v>45747</v>
      </c>
      <c r="B64">
        <v>4.0999999999999996</v>
      </c>
      <c r="C64" s="2">
        <v>45717</v>
      </c>
      <c r="D64">
        <v>0.628</v>
      </c>
      <c r="E64">
        <v>59.6</v>
      </c>
      <c r="F64">
        <v>7.24</v>
      </c>
      <c r="G64">
        <v>6.85</v>
      </c>
      <c r="H64">
        <v>7.13</v>
      </c>
      <c r="I64" s="3">
        <f t="shared" si="1"/>
        <v>3.1400000000000006</v>
      </c>
    </row>
    <row r="65" spans="1:9" x14ac:dyDescent="0.25">
      <c r="A65" s="2">
        <v>45777</v>
      </c>
      <c r="B65">
        <v>4.0999999999999996</v>
      </c>
      <c r="C65" s="2">
        <v>45748</v>
      </c>
      <c r="D65">
        <v>0.64159999999999995</v>
      </c>
      <c r="E65">
        <v>59.9</v>
      </c>
      <c r="F65">
        <v>7.25</v>
      </c>
      <c r="G65">
        <v>6.84</v>
      </c>
      <c r="H65">
        <v>7.2</v>
      </c>
      <c r="I65" s="3">
        <f t="shared" si="1"/>
        <v>3.1500000000000004</v>
      </c>
    </row>
    <row r="66" spans="1:9" x14ac:dyDescent="0.25">
      <c r="A66" s="2">
        <v>45808</v>
      </c>
      <c r="B66">
        <v>4.01</v>
      </c>
      <c r="C66" s="2">
        <v>45778</v>
      </c>
      <c r="D66">
        <v>0.64359999999999995</v>
      </c>
      <c r="E66">
        <v>59.6</v>
      </c>
      <c r="F66">
        <v>7.16</v>
      </c>
      <c r="G66">
        <v>6.69</v>
      </c>
      <c r="H66">
        <v>7.23</v>
      </c>
      <c r="I66" s="3">
        <f t="shared" ref="I66:I73" si="2">IFERROR(F66-B66,"")</f>
        <v>3.1500000000000004</v>
      </c>
    </row>
    <row r="67" spans="1:9" x14ac:dyDescent="0.25">
      <c r="A67" s="2">
        <v>45838</v>
      </c>
      <c r="B67">
        <v>3.85</v>
      </c>
      <c r="C67" s="2">
        <v>45809</v>
      </c>
      <c r="D67">
        <v>0.65500000000000003</v>
      </c>
      <c r="E67">
        <v>60.1</v>
      </c>
      <c r="F67">
        <v>7.06</v>
      </c>
      <c r="G67">
        <v>6.58</v>
      </c>
      <c r="H67">
        <v>7.24</v>
      </c>
      <c r="I67" s="3">
        <f t="shared" si="2"/>
        <v>3.2099999999999995</v>
      </c>
    </row>
    <row r="68" spans="1:9" x14ac:dyDescent="0.25">
      <c r="A68" s="2">
        <v>45869</v>
      </c>
      <c r="B68">
        <v>3.85</v>
      </c>
      <c r="C68" s="2">
        <v>45839</v>
      </c>
      <c r="D68">
        <v>0.64690000000000003</v>
      </c>
      <c r="E68">
        <v>60.3</v>
      </c>
      <c r="F68">
        <v>7.04</v>
      </c>
      <c r="G68">
        <v>6.56</v>
      </c>
      <c r="H68">
        <v>7.25</v>
      </c>
      <c r="I68" s="3">
        <f t="shared" si="2"/>
        <v>3.19</v>
      </c>
    </row>
    <row r="69" spans="1:9" x14ac:dyDescent="0.25">
      <c r="A69" s="2">
        <v>45900</v>
      </c>
      <c r="B69">
        <v>3.7</v>
      </c>
      <c r="C69" s="2">
        <v>45870</v>
      </c>
      <c r="D69">
        <v>0.65380000000000005</v>
      </c>
      <c r="E69">
        <v>60.5</v>
      </c>
      <c r="F69">
        <v>6.9</v>
      </c>
      <c r="G69">
        <v>6.33</v>
      </c>
      <c r="H69">
        <v>7.28</v>
      </c>
      <c r="I69" s="3">
        <f t="shared" si="2"/>
        <v>3.2</v>
      </c>
    </row>
    <row r="70" spans="1:9" x14ac:dyDescent="0.25">
      <c r="A70" s="2">
        <v>45930</v>
      </c>
      <c r="B70">
        <v>3.6</v>
      </c>
      <c r="C70" s="2">
        <v>45901</v>
      </c>
      <c r="D70">
        <v>0.66020000000000001</v>
      </c>
      <c r="E70">
        <v>61.3</v>
      </c>
      <c r="F70">
        <v>6.87</v>
      </c>
      <c r="G70">
        <v>6.3</v>
      </c>
      <c r="H70">
        <v>7.25</v>
      </c>
      <c r="I70" s="3">
        <f t="shared" si="2"/>
        <v>3.27</v>
      </c>
    </row>
    <row r="71" spans="1:9" x14ac:dyDescent="0.25">
      <c r="A71" s="2">
        <v>45961</v>
      </c>
      <c r="B71">
        <v>3.6</v>
      </c>
      <c r="C71" s="2">
        <v>45931</v>
      </c>
      <c r="D71">
        <v>0.65510000000000002</v>
      </c>
      <c r="E71">
        <v>61.2</v>
      </c>
      <c r="F71">
        <v>6.85</v>
      </c>
      <c r="G71">
        <v>6.29</v>
      </c>
      <c r="H71">
        <v>7.23</v>
      </c>
      <c r="I71" s="3">
        <f t="shared" si="2"/>
        <v>3.2499999999999996</v>
      </c>
    </row>
    <row r="72" spans="1:9" x14ac:dyDescent="0.25">
      <c r="A72" s="2">
        <v>45991</v>
      </c>
      <c r="B72">
        <v>3.6</v>
      </c>
      <c r="C72" s="2">
        <v>45962</v>
      </c>
      <c r="D72">
        <v>0.65329999999999999</v>
      </c>
      <c r="E72">
        <v>61.2</v>
      </c>
      <c r="F72">
        <v>6.84</v>
      </c>
      <c r="G72">
        <v>6.28</v>
      </c>
      <c r="H72">
        <v>7.23</v>
      </c>
      <c r="I72" s="3">
        <f t="shared" si="2"/>
        <v>3.2399999999999998</v>
      </c>
    </row>
    <row r="73" spans="1:9" x14ac:dyDescent="0.25">
      <c r="A73" s="2">
        <v>46022</v>
      </c>
      <c r="B73">
        <v>3.6</v>
      </c>
      <c r="C73" s="2">
        <v>45992</v>
      </c>
      <c r="D73">
        <v>0.66930000000000001</v>
      </c>
      <c r="E73">
        <v>62.2</v>
      </c>
      <c r="F73">
        <v>6.85</v>
      </c>
      <c r="G73">
        <v>6.27</v>
      </c>
      <c r="H73">
        <v>7.27</v>
      </c>
      <c r="I73" s="3">
        <f t="shared" si="2"/>
        <v>3.2499999999999996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129B-C3E3-4911-9E44-E12F09D16940}">
  <sheetPr>
    <pageSetUpPr autoPageBreaks="0" fitToPage="1"/>
  </sheetPr>
  <dimension ref="B1:U22"/>
  <sheetViews>
    <sheetView showGridLines="0" tabSelected="1" zoomScale="85" zoomScaleNormal="85" workbookViewId="0">
      <selection activeCell="E41" sqref="E41"/>
    </sheetView>
  </sheetViews>
  <sheetFormatPr defaultRowHeight="15" x14ac:dyDescent="0.25"/>
  <cols>
    <col min="1" max="1" width="31.42578125" customWidth="1"/>
    <col min="2" max="2" width="22.7109375" customWidth="1"/>
    <col min="3" max="3" width="26.7109375" bestFit="1" customWidth="1"/>
    <col min="4" max="4" width="15" bestFit="1" customWidth="1"/>
    <col min="5" max="5" width="17.28515625" bestFit="1" customWidth="1"/>
  </cols>
  <sheetData>
    <row r="1" spans="2:21" ht="15" customHeight="1" x14ac:dyDescent="0.45">
      <c r="B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2:21" ht="18" customHeight="1" x14ac:dyDescent="0.45">
      <c r="C2" s="8" t="s">
        <v>9</v>
      </c>
      <c r="D2" s="6">
        <f>AVERAGE(Financial_Conditions[Cash_Rates])</f>
        <v>2.3002777777777759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2:21" ht="18" customHeight="1" x14ac:dyDescent="0.45">
      <c r="C3" s="8" t="s">
        <v>10</v>
      </c>
      <c r="D3" s="6">
        <f>AVERAGE(Financial_Conditions[Small_Business_Total])</f>
        <v>5.8413888888888899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2:21" ht="18" customHeight="1" x14ac:dyDescent="0.45">
      <c r="C4" s="8" t="s">
        <v>11</v>
      </c>
      <c r="D4" s="6">
        <f>AVERAGE(Financial_Conditions[Spread])</f>
        <v>3.5411111111111109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2:21" ht="18" customHeight="1" x14ac:dyDescent="0.25">
      <c r="C5" s="8" t="s">
        <v>12</v>
      </c>
      <c r="D5" s="7">
        <f>AVERAGE(Financial_Conditions[AUD/USD])</f>
        <v>0.68418611111111083</v>
      </c>
    </row>
    <row r="22" spans="18:18" x14ac:dyDescent="0.25">
      <c r="R22" s="9" t="s">
        <v>13</v>
      </c>
    </row>
  </sheetData>
  <pageMargins left="0.25" right="0.25" top="0.75" bottom="0.75" header="0.3" footer="0.3"/>
  <pageSetup scale="65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A64C07-3E3E-4187-BEC6-77C0250D9E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Exchange_Rates</vt:lpstr>
      <vt:lpstr>Cash_Rates</vt:lpstr>
      <vt:lpstr>Business_Rates</vt:lpstr>
      <vt:lpstr>Financial_Conditions</vt:lpstr>
      <vt:lpstr>Analysis</vt:lpstr>
      <vt:lpstr>Analysis!Print_Area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 Chan</dc:creator>
  <cp:lastModifiedBy>Evert Chan</cp:lastModifiedBy>
  <cp:lastPrinted>2026-09-22T09:38:56Z</cp:lastPrinted>
  <dcterms:created xsi:type="dcterms:W3CDTF">2015-06-05T18:17:20Z</dcterms:created>
  <dcterms:modified xsi:type="dcterms:W3CDTF">2026-09-22T09:38:58Z</dcterms:modified>
</cp:coreProperties>
</file>